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va\Downloads\Capstone project\"/>
    </mc:Choice>
  </mc:AlternateContent>
  <xr:revisionPtr revIDLastSave="0" documentId="13_ncr:1_{AEC6A941-97B0-4828-8675-62F90C204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orders" sheetId="1" r:id="rId1"/>
    <sheet name="business_rules" sheetId="2" r:id="rId2"/>
  </sheets>
  <definedNames>
    <definedName name="_xlnm._FilterDatabase" localSheetId="0" hidden="1">cleaned_orders!$P$1:$P$933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1" l="1" a="1"/>
  <c r="X2" i="1" a="1"/>
  <c r="X2" i="1" s="1"/>
  <c r="AD3" i="1"/>
  <c r="AE3" i="1"/>
  <c r="AF3" i="1"/>
  <c r="AG3" i="1"/>
  <c r="AH3" i="1"/>
  <c r="AI3" i="1"/>
  <c r="AD4" i="1"/>
  <c r="AE4" i="1"/>
  <c r="AF4" i="1"/>
  <c r="AG4" i="1"/>
  <c r="AH4" i="1"/>
  <c r="AI4" i="1"/>
  <c r="AD5" i="1"/>
  <c r="AE5" i="1"/>
  <c r="AF5" i="1"/>
  <c r="AG5" i="1"/>
  <c r="AH5" i="1"/>
  <c r="AI5" i="1"/>
  <c r="AD6" i="1"/>
  <c r="AE6" i="1"/>
  <c r="AF6" i="1"/>
  <c r="AG6" i="1"/>
  <c r="AH6" i="1"/>
  <c r="AI6" i="1"/>
  <c r="AD7" i="1"/>
  <c r="AE7" i="1"/>
  <c r="AF7" i="1"/>
  <c r="AG7" i="1"/>
  <c r="AH7" i="1"/>
  <c r="AI7" i="1"/>
  <c r="AD8" i="1"/>
  <c r="AE8" i="1"/>
  <c r="AF8" i="1"/>
  <c r="AG8" i="1"/>
  <c r="AH8" i="1"/>
  <c r="AI8" i="1"/>
  <c r="AD9" i="1"/>
  <c r="AE9" i="1"/>
  <c r="AF9" i="1"/>
  <c r="AG9" i="1"/>
  <c r="AH9" i="1"/>
  <c r="AI9" i="1"/>
  <c r="AD10" i="1"/>
  <c r="AE10" i="1"/>
  <c r="AF10" i="1"/>
  <c r="AG10" i="1"/>
  <c r="AH10" i="1"/>
  <c r="AI10" i="1"/>
  <c r="AD11" i="1"/>
  <c r="AE11" i="1"/>
  <c r="AF11" i="1"/>
  <c r="AG11" i="1"/>
  <c r="AH11" i="1"/>
  <c r="AI11" i="1"/>
  <c r="AD12" i="1"/>
  <c r="AE12" i="1"/>
  <c r="AF12" i="1"/>
  <c r="AG12" i="1"/>
  <c r="AH12" i="1"/>
  <c r="AI12" i="1"/>
  <c r="AD13" i="1"/>
  <c r="AE13" i="1"/>
  <c r="AF13" i="1"/>
  <c r="AG13" i="1"/>
  <c r="AH13" i="1"/>
  <c r="AI13" i="1"/>
  <c r="AD14" i="1"/>
  <c r="AE14" i="1"/>
  <c r="AF14" i="1"/>
  <c r="AG14" i="1"/>
  <c r="AH14" i="1"/>
  <c r="AI14" i="1"/>
  <c r="AD15" i="1"/>
  <c r="AE15" i="1"/>
  <c r="AF15" i="1"/>
  <c r="AG15" i="1"/>
  <c r="AH15" i="1"/>
  <c r="AI15" i="1"/>
  <c r="AD16" i="1"/>
  <c r="AE16" i="1"/>
  <c r="AF16" i="1"/>
  <c r="AG16" i="1"/>
  <c r="AH16" i="1"/>
  <c r="AI16" i="1"/>
  <c r="AD17" i="1"/>
  <c r="AE17" i="1"/>
  <c r="AF17" i="1"/>
  <c r="AG17" i="1"/>
  <c r="AH17" i="1"/>
  <c r="AI17" i="1"/>
  <c r="AD18" i="1"/>
  <c r="AE18" i="1"/>
  <c r="AF18" i="1"/>
  <c r="AG18" i="1"/>
  <c r="AH18" i="1"/>
  <c r="AI18" i="1"/>
  <c r="AD19" i="1"/>
  <c r="AE19" i="1"/>
  <c r="AF19" i="1"/>
  <c r="AG19" i="1"/>
  <c r="AH19" i="1"/>
  <c r="AI19" i="1"/>
  <c r="AD20" i="1"/>
  <c r="AE20" i="1"/>
  <c r="AF20" i="1"/>
  <c r="AG20" i="1"/>
  <c r="AH20" i="1"/>
  <c r="AI20" i="1"/>
  <c r="AD21" i="1"/>
  <c r="AE21" i="1"/>
  <c r="AF21" i="1"/>
  <c r="AG21" i="1"/>
  <c r="AH21" i="1"/>
  <c r="AI21" i="1"/>
  <c r="AD22" i="1"/>
  <c r="AE22" i="1"/>
  <c r="AF22" i="1"/>
  <c r="AG22" i="1"/>
  <c r="AH22" i="1"/>
  <c r="AI22" i="1"/>
  <c r="AD23" i="1"/>
  <c r="AE23" i="1"/>
  <c r="AF23" i="1"/>
  <c r="AG23" i="1"/>
  <c r="AH23" i="1"/>
  <c r="AI23" i="1"/>
  <c r="AD24" i="1"/>
  <c r="AE24" i="1"/>
  <c r="AF24" i="1"/>
  <c r="AG24" i="1"/>
  <c r="AH24" i="1"/>
  <c r="AI24" i="1"/>
  <c r="AD25" i="1"/>
  <c r="AE25" i="1"/>
  <c r="AF25" i="1"/>
  <c r="AG25" i="1"/>
  <c r="AH25" i="1"/>
  <c r="AI25" i="1"/>
  <c r="AD26" i="1"/>
  <c r="AE26" i="1"/>
  <c r="AF26" i="1"/>
  <c r="AG26" i="1"/>
  <c r="AH26" i="1"/>
  <c r="AI26" i="1"/>
  <c r="AD27" i="1"/>
  <c r="AE27" i="1"/>
  <c r="AF27" i="1"/>
  <c r="AG27" i="1"/>
  <c r="AH27" i="1"/>
  <c r="AI27" i="1"/>
  <c r="AD28" i="1"/>
  <c r="AE28" i="1"/>
  <c r="AF28" i="1"/>
  <c r="AG28" i="1"/>
  <c r="AH28" i="1"/>
  <c r="AI28" i="1"/>
  <c r="AD29" i="1"/>
  <c r="AE29" i="1"/>
  <c r="AF29" i="1"/>
  <c r="AG29" i="1"/>
  <c r="AH29" i="1"/>
  <c r="AI29" i="1"/>
  <c r="AD30" i="1"/>
  <c r="AE30" i="1"/>
  <c r="AF30" i="1"/>
  <c r="AG30" i="1"/>
  <c r="AH30" i="1"/>
  <c r="AI30" i="1"/>
  <c r="AD31" i="1"/>
  <c r="AE31" i="1"/>
  <c r="AF31" i="1"/>
  <c r="AG31" i="1"/>
  <c r="AH31" i="1"/>
  <c r="AI31" i="1"/>
  <c r="AD32" i="1"/>
  <c r="AE32" i="1"/>
  <c r="AF32" i="1"/>
  <c r="AG32" i="1"/>
  <c r="AH32" i="1"/>
  <c r="AI32" i="1"/>
  <c r="AD33" i="1"/>
  <c r="AE33" i="1"/>
  <c r="AF33" i="1"/>
  <c r="AG33" i="1"/>
  <c r="AH33" i="1"/>
  <c r="AI33" i="1"/>
  <c r="AD34" i="1"/>
  <c r="AE34" i="1"/>
  <c r="AF34" i="1"/>
  <c r="AG34" i="1"/>
  <c r="AH34" i="1"/>
  <c r="AI34" i="1"/>
  <c r="AD35" i="1"/>
  <c r="AE35" i="1"/>
  <c r="AF35" i="1"/>
  <c r="AG35" i="1"/>
  <c r="AH35" i="1"/>
  <c r="AI35" i="1"/>
  <c r="AD36" i="1"/>
  <c r="AE36" i="1"/>
  <c r="AF36" i="1"/>
  <c r="AG36" i="1"/>
  <c r="AH36" i="1"/>
  <c r="AD37" i="1"/>
  <c r="AE37" i="1"/>
  <c r="AF37" i="1"/>
  <c r="AG37" i="1"/>
  <c r="AH37" i="1"/>
  <c r="AI37" i="1"/>
  <c r="AD38" i="1"/>
  <c r="AE38" i="1"/>
  <c r="AF38" i="1"/>
  <c r="AG38" i="1"/>
  <c r="AH38" i="1"/>
  <c r="AI38" i="1"/>
  <c r="AD39" i="1"/>
  <c r="AE39" i="1"/>
  <c r="AF39" i="1"/>
  <c r="AG39" i="1"/>
  <c r="AH39" i="1"/>
  <c r="AI39" i="1"/>
  <c r="AD40" i="1"/>
  <c r="AE40" i="1"/>
  <c r="AF40" i="1"/>
  <c r="AG40" i="1"/>
  <c r="AH40" i="1"/>
  <c r="AI40" i="1"/>
  <c r="AD41" i="1"/>
  <c r="AE41" i="1"/>
  <c r="AF41" i="1"/>
  <c r="AG41" i="1"/>
  <c r="AH41" i="1"/>
  <c r="AI41" i="1"/>
  <c r="AD42" i="1"/>
  <c r="AE42" i="1"/>
  <c r="AF42" i="1"/>
  <c r="AG42" i="1"/>
  <c r="AH42" i="1"/>
  <c r="AI42" i="1"/>
  <c r="AD43" i="1"/>
  <c r="AE43" i="1"/>
  <c r="AF43" i="1"/>
  <c r="AG43" i="1"/>
  <c r="AH43" i="1"/>
  <c r="AI43" i="1"/>
  <c r="AD44" i="1"/>
  <c r="AE44" i="1"/>
  <c r="AF44" i="1"/>
  <c r="AG44" i="1"/>
  <c r="AH44" i="1"/>
  <c r="AI44" i="1"/>
  <c r="AD45" i="1"/>
  <c r="AE45" i="1"/>
  <c r="AF45" i="1"/>
  <c r="AG45" i="1"/>
  <c r="AH45" i="1"/>
  <c r="AI45" i="1"/>
  <c r="AD46" i="1"/>
  <c r="AE46" i="1"/>
  <c r="AF46" i="1"/>
  <c r="AG46" i="1"/>
  <c r="AH46" i="1"/>
  <c r="AI46" i="1"/>
  <c r="AD47" i="1"/>
  <c r="AE47" i="1"/>
  <c r="AF47" i="1"/>
  <c r="AG47" i="1"/>
  <c r="AH47" i="1"/>
  <c r="AI47" i="1"/>
  <c r="AD48" i="1"/>
  <c r="AE48" i="1"/>
  <c r="AF48" i="1"/>
  <c r="AG48" i="1"/>
  <c r="AH48" i="1"/>
  <c r="AI48" i="1"/>
  <c r="AD49" i="1"/>
  <c r="AE49" i="1"/>
  <c r="AF49" i="1"/>
  <c r="AG49" i="1"/>
  <c r="AH49" i="1"/>
  <c r="AI49" i="1"/>
  <c r="AD50" i="1"/>
  <c r="AE50" i="1"/>
  <c r="AF50" i="1"/>
  <c r="AG50" i="1"/>
  <c r="AH50" i="1"/>
  <c r="AI50" i="1"/>
  <c r="AD51" i="1"/>
  <c r="AE51" i="1"/>
  <c r="AF51" i="1"/>
  <c r="AG51" i="1"/>
  <c r="AH51" i="1"/>
  <c r="AI51" i="1"/>
  <c r="AD52" i="1"/>
  <c r="AE52" i="1"/>
  <c r="AF52" i="1"/>
  <c r="AG52" i="1"/>
  <c r="AH52" i="1"/>
  <c r="AI52" i="1"/>
  <c r="AD53" i="1"/>
  <c r="AE53" i="1"/>
  <c r="AF53" i="1"/>
  <c r="AG53" i="1"/>
  <c r="AH53" i="1"/>
  <c r="AI53" i="1"/>
  <c r="AD54" i="1"/>
  <c r="AE54" i="1"/>
  <c r="AF54" i="1"/>
  <c r="AG54" i="1"/>
  <c r="AH54" i="1"/>
  <c r="AI54" i="1"/>
  <c r="AD55" i="1"/>
  <c r="AE55" i="1"/>
  <c r="AF55" i="1"/>
  <c r="AG55" i="1"/>
  <c r="AH55" i="1"/>
  <c r="AI55" i="1"/>
  <c r="AD56" i="1"/>
  <c r="AE56" i="1"/>
  <c r="AF56" i="1"/>
  <c r="AG56" i="1"/>
  <c r="AH56" i="1"/>
  <c r="AI56" i="1"/>
  <c r="AD57" i="1"/>
  <c r="AE57" i="1"/>
  <c r="AF57" i="1"/>
  <c r="AG57" i="1"/>
  <c r="AH57" i="1"/>
  <c r="AI57" i="1"/>
  <c r="AD58" i="1"/>
  <c r="AE58" i="1"/>
  <c r="AF58" i="1"/>
  <c r="AG58" i="1"/>
  <c r="AH58" i="1"/>
  <c r="AI58" i="1"/>
  <c r="AD59" i="1"/>
  <c r="AE59" i="1"/>
  <c r="AF59" i="1"/>
  <c r="AG59" i="1"/>
  <c r="AH59" i="1"/>
  <c r="AI59" i="1"/>
  <c r="AD60" i="1"/>
  <c r="AE60" i="1"/>
  <c r="AF60" i="1"/>
  <c r="AG60" i="1"/>
  <c r="AH60" i="1"/>
  <c r="AD61" i="1"/>
  <c r="AE61" i="1"/>
  <c r="AF61" i="1"/>
  <c r="AG61" i="1"/>
  <c r="AH61" i="1"/>
  <c r="AI61" i="1"/>
  <c r="AD62" i="1"/>
  <c r="AE62" i="1"/>
  <c r="AF62" i="1"/>
  <c r="AG62" i="1"/>
  <c r="AH62" i="1"/>
  <c r="AI62" i="1"/>
  <c r="AD63" i="1"/>
  <c r="AE63" i="1"/>
  <c r="AF63" i="1"/>
  <c r="AG63" i="1"/>
  <c r="AH63" i="1"/>
  <c r="AI63" i="1"/>
  <c r="AD64" i="1"/>
  <c r="AE64" i="1"/>
  <c r="AF64" i="1"/>
  <c r="AG64" i="1"/>
  <c r="AH64" i="1"/>
  <c r="AI64" i="1"/>
  <c r="AD65" i="1"/>
  <c r="AE65" i="1"/>
  <c r="AF65" i="1"/>
  <c r="AG65" i="1"/>
  <c r="AH65" i="1"/>
  <c r="AI65" i="1"/>
  <c r="AD66" i="1"/>
  <c r="AE66" i="1"/>
  <c r="AF66" i="1"/>
  <c r="AG66" i="1"/>
  <c r="AH66" i="1"/>
  <c r="AI66" i="1"/>
  <c r="AD67" i="1"/>
  <c r="AE67" i="1"/>
  <c r="AF67" i="1"/>
  <c r="AG67" i="1"/>
  <c r="AH67" i="1"/>
  <c r="AI67" i="1"/>
  <c r="AD68" i="1"/>
  <c r="AE68" i="1"/>
  <c r="AF68" i="1"/>
  <c r="AG68" i="1"/>
  <c r="AH68" i="1"/>
  <c r="AI68" i="1"/>
  <c r="AD69" i="1"/>
  <c r="AE69" i="1"/>
  <c r="AF69" i="1"/>
  <c r="AG69" i="1"/>
  <c r="AH69" i="1"/>
  <c r="AI69" i="1"/>
  <c r="AD70" i="1"/>
  <c r="AE70" i="1"/>
  <c r="AF70" i="1"/>
  <c r="AG70" i="1"/>
  <c r="AH70" i="1"/>
  <c r="AI70" i="1"/>
  <c r="AD71" i="1"/>
  <c r="AE71" i="1"/>
  <c r="AF71" i="1"/>
  <c r="AG71" i="1"/>
  <c r="AH71" i="1"/>
  <c r="AI71" i="1"/>
  <c r="AD72" i="1"/>
  <c r="AE72" i="1"/>
  <c r="AF72" i="1"/>
  <c r="AG72" i="1"/>
  <c r="AH72" i="1"/>
  <c r="AI72" i="1"/>
  <c r="AD73" i="1"/>
  <c r="AE73" i="1"/>
  <c r="AF73" i="1"/>
  <c r="AG73" i="1"/>
  <c r="AH73" i="1"/>
  <c r="AI73" i="1"/>
  <c r="AD74" i="1"/>
  <c r="AE74" i="1"/>
  <c r="AF74" i="1"/>
  <c r="AG74" i="1"/>
  <c r="AH74" i="1"/>
  <c r="AI74" i="1"/>
  <c r="AD75" i="1"/>
  <c r="AE75" i="1"/>
  <c r="AF75" i="1"/>
  <c r="AG75" i="1"/>
  <c r="AH75" i="1"/>
  <c r="AI75" i="1"/>
  <c r="AD76" i="1"/>
  <c r="AE76" i="1"/>
  <c r="AF76" i="1"/>
  <c r="AG76" i="1"/>
  <c r="AH76" i="1"/>
  <c r="AI76" i="1"/>
  <c r="AD77" i="1"/>
  <c r="AE77" i="1"/>
  <c r="AF77" i="1"/>
  <c r="AG77" i="1"/>
  <c r="AH77" i="1"/>
  <c r="AI77" i="1"/>
  <c r="AD78" i="1"/>
  <c r="AE78" i="1"/>
  <c r="AF78" i="1"/>
  <c r="AG78" i="1"/>
  <c r="AH78" i="1"/>
  <c r="AI78" i="1"/>
  <c r="AD79" i="1"/>
  <c r="AE79" i="1"/>
  <c r="AF79" i="1"/>
  <c r="AG79" i="1"/>
  <c r="AH79" i="1"/>
  <c r="AI79" i="1"/>
  <c r="AD80" i="1"/>
  <c r="AE80" i="1"/>
  <c r="AF80" i="1"/>
  <c r="AG80" i="1"/>
  <c r="AH80" i="1"/>
  <c r="AI80" i="1"/>
  <c r="AD81" i="1"/>
  <c r="AE81" i="1"/>
  <c r="AF81" i="1"/>
  <c r="AG81" i="1"/>
  <c r="AH81" i="1"/>
  <c r="AI81" i="1"/>
  <c r="AD82" i="1"/>
  <c r="AE82" i="1"/>
  <c r="AF82" i="1"/>
  <c r="AG82" i="1"/>
  <c r="AH82" i="1"/>
  <c r="AI82" i="1"/>
  <c r="AD83" i="1"/>
  <c r="AE83" i="1"/>
  <c r="AF83" i="1"/>
  <c r="AG83" i="1"/>
  <c r="AH83" i="1"/>
  <c r="AI83" i="1"/>
  <c r="AD84" i="1"/>
  <c r="AE84" i="1"/>
  <c r="AF84" i="1"/>
  <c r="AG84" i="1"/>
  <c r="AH84" i="1"/>
  <c r="AI84" i="1"/>
  <c r="AD85" i="1"/>
  <c r="AE85" i="1"/>
  <c r="AF85" i="1"/>
  <c r="AG85" i="1"/>
  <c r="AH85" i="1"/>
  <c r="AI85" i="1"/>
  <c r="AD86" i="1"/>
  <c r="AE86" i="1"/>
  <c r="AF86" i="1"/>
  <c r="AG86" i="1"/>
  <c r="AH86" i="1"/>
  <c r="AI86" i="1"/>
  <c r="AD87" i="1"/>
  <c r="AE87" i="1"/>
  <c r="AF87" i="1"/>
  <c r="AG87" i="1"/>
  <c r="AH87" i="1"/>
  <c r="AI87" i="1"/>
  <c r="AD88" i="1"/>
  <c r="AE88" i="1"/>
  <c r="AF88" i="1"/>
  <c r="AG88" i="1"/>
  <c r="AH88" i="1"/>
  <c r="AI88" i="1"/>
  <c r="AD89" i="1"/>
  <c r="AE89" i="1"/>
  <c r="AF89" i="1"/>
  <c r="AG89" i="1"/>
  <c r="AH89" i="1"/>
  <c r="AI89" i="1"/>
  <c r="AD90" i="1"/>
  <c r="AE90" i="1"/>
  <c r="AF90" i="1"/>
  <c r="AG90" i="1"/>
  <c r="AH90" i="1"/>
  <c r="AI90" i="1"/>
  <c r="AD91" i="1"/>
  <c r="AE91" i="1"/>
  <c r="AF91" i="1"/>
  <c r="AG91" i="1"/>
  <c r="AH91" i="1"/>
  <c r="AI91" i="1"/>
  <c r="AD92" i="1"/>
  <c r="AE92" i="1"/>
  <c r="AF92" i="1"/>
  <c r="AG92" i="1"/>
  <c r="AH92" i="1"/>
  <c r="AI92" i="1"/>
  <c r="AD93" i="1"/>
  <c r="AE93" i="1"/>
  <c r="AF93" i="1"/>
  <c r="AG93" i="1"/>
  <c r="AH93" i="1"/>
  <c r="AI93" i="1"/>
  <c r="AD94" i="1"/>
  <c r="AE94" i="1"/>
  <c r="AF94" i="1"/>
  <c r="AG94" i="1"/>
  <c r="AH94" i="1"/>
  <c r="AI94" i="1"/>
  <c r="AD95" i="1"/>
  <c r="AE95" i="1"/>
  <c r="AF95" i="1"/>
  <c r="AG95" i="1"/>
  <c r="AH95" i="1"/>
  <c r="AI95" i="1"/>
  <c r="AD96" i="1"/>
  <c r="AE96" i="1"/>
  <c r="AF96" i="1"/>
  <c r="AG96" i="1"/>
  <c r="AH96" i="1"/>
  <c r="AI96" i="1"/>
  <c r="AD97" i="1"/>
  <c r="AE97" i="1"/>
  <c r="AF97" i="1"/>
  <c r="AG97" i="1"/>
  <c r="AH97" i="1"/>
  <c r="AI97" i="1"/>
  <c r="AD98" i="1"/>
  <c r="AE98" i="1"/>
  <c r="AF98" i="1"/>
  <c r="AG98" i="1"/>
  <c r="AH98" i="1"/>
  <c r="AI98" i="1"/>
  <c r="AD99" i="1"/>
  <c r="AE99" i="1"/>
  <c r="AF99" i="1"/>
  <c r="AG99" i="1"/>
  <c r="AH99" i="1"/>
  <c r="AI99" i="1"/>
  <c r="AD100" i="1"/>
  <c r="AE100" i="1"/>
  <c r="AF100" i="1"/>
  <c r="AG100" i="1"/>
  <c r="AH100" i="1"/>
  <c r="AD101" i="1"/>
  <c r="AE101" i="1"/>
  <c r="AF101" i="1"/>
  <c r="AG101" i="1"/>
  <c r="AH101" i="1"/>
  <c r="AI101" i="1"/>
  <c r="AD102" i="1"/>
  <c r="AE102" i="1"/>
  <c r="AF102" i="1"/>
  <c r="AG102" i="1"/>
  <c r="AH102" i="1"/>
  <c r="AI102" i="1"/>
  <c r="AD103" i="1"/>
  <c r="AE103" i="1"/>
  <c r="AF103" i="1"/>
  <c r="AG103" i="1"/>
  <c r="AH103" i="1"/>
  <c r="AI103" i="1"/>
  <c r="AD104" i="1"/>
  <c r="AE104" i="1"/>
  <c r="AF104" i="1"/>
  <c r="AG104" i="1"/>
  <c r="AH104" i="1"/>
  <c r="AI104" i="1"/>
  <c r="AD105" i="1"/>
  <c r="AE105" i="1"/>
  <c r="AF105" i="1"/>
  <c r="AG105" i="1"/>
  <c r="AH105" i="1"/>
  <c r="AI105" i="1"/>
  <c r="AD106" i="1"/>
  <c r="AE106" i="1"/>
  <c r="AF106" i="1"/>
  <c r="AG106" i="1"/>
  <c r="AH106" i="1"/>
  <c r="AI106" i="1"/>
  <c r="AD107" i="1"/>
  <c r="AE107" i="1"/>
  <c r="AF107" i="1"/>
  <c r="AG107" i="1"/>
  <c r="AH107" i="1"/>
  <c r="AI107" i="1"/>
  <c r="AD108" i="1"/>
  <c r="AE108" i="1"/>
  <c r="AF108" i="1"/>
  <c r="AG108" i="1"/>
  <c r="AH108" i="1"/>
  <c r="AI108" i="1"/>
  <c r="AD109" i="1"/>
  <c r="AE109" i="1"/>
  <c r="AF109" i="1"/>
  <c r="AG109" i="1"/>
  <c r="AH109" i="1"/>
  <c r="AI109" i="1"/>
  <c r="AD110" i="1"/>
  <c r="AE110" i="1"/>
  <c r="AF110" i="1"/>
  <c r="AG110" i="1"/>
  <c r="AH110" i="1"/>
  <c r="AI110" i="1"/>
  <c r="AD111" i="1"/>
  <c r="AE111" i="1"/>
  <c r="AF111" i="1"/>
  <c r="AG111" i="1"/>
  <c r="AH111" i="1"/>
  <c r="AI111" i="1"/>
  <c r="AD112" i="1"/>
  <c r="AE112" i="1"/>
  <c r="AF112" i="1"/>
  <c r="AG112" i="1"/>
  <c r="AH112" i="1"/>
  <c r="AI112" i="1"/>
  <c r="AD113" i="1"/>
  <c r="AE113" i="1"/>
  <c r="AF113" i="1"/>
  <c r="AG113" i="1"/>
  <c r="AH113" i="1"/>
  <c r="AI113" i="1"/>
  <c r="AD114" i="1"/>
  <c r="AE114" i="1"/>
  <c r="AF114" i="1"/>
  <c r="AG114" i="1"/>
  <c r="AH114" i="1"/>
  <c r="AI114" i="1"/>
  <c r="AD115" i="1"/>
  <c r="AE115" i="1"/>
  <c r="AF115" i="1"/>
  <c r="AG115" i="1"/>
  <c r="AH115" i="1"/>
  <c r="AI115" i="1"/>
  <c r="AD116" i="1"/>
  <c r="AE116" i="1"/>
  <c r="AF116" i="1"/>
  <c r="AG116" i="1"/>
  <c r="AH116" i="1"/>
  <c r="AI116" i="1"/>
  <c r="AD117" i="1"/>
  <c r="AE117" i="1"/>
  <c r="AF117" i="1"/>
  <c r="AG117" i="1"/>
  <c r="AH117" i="1"/>
  <c r="AI117" i="1"/>
  <c r="AD118" i="1"/>
  <c r="AE118" i="1"/>
  <c r="AF118" i="1"/>
  <c r="AG118" i="1"/>
  <c r="AH118" i="1"/>
  <c r="AI118" i="1"/>
  <c r="AD119" i="1"/>
  <c r="AE119" i="1"/>
  <c r="AF119" i="1"/>
  <c r="AG119" i="1"/>
  <c r="AH119" i="1"/>
  <c r="AI119" i="1"/>
  <c r="AD120" i="1"/>
  <c r="AE120" i="1"/>
  <c r="AF120" i="1"/>
  <c r="AG120" i="1"/>
  <c r="AH120" i="1"/>
  <c r="AI120" i="1"/>
  <c r="AD121" i="1"/>
  <c r="AE121" i="1"/>
  <c r="AF121" i="1"/>
  <c r="AG121" i="1"/>
  <c r="AH121" i="1"/>
  <c r="AI121" i="1"/>
  <c r="AD122" i="1"/>
  <c r="AE122" i="1"/>
  <c r="AF122" i="1"/>
  <c r="AG122" i="1"/>
  <c r="AH122" i="1"/>
  <c r="AI122" i="1"/>
  <c r="AD123" i="1"/>
  <c r="AE123" i="1"/>
  <c r="AF123" i="1"/>
  <c r="AG123" i="1"/>
  <c r="AH123" i="1"/>
  <c r="AI123" i="1"/>
  <c r="AD124" i="1"/>
  <c r="AE124" i="1"/>
  <c r="AF124" i="1"/>
  <c r="AG124" i="1"/>
  <c r="AH124" i="1"/>
  <c r="AI124" i="1"/>
  <c r="AD125" i="1"/>
  <c r="AE125" i="1"/>
  <c r="AF125" i="1"/>
  <c r="AG125" i="1"/>
  <c r="AH125" i="1"/>
  <c r="AI125" i="1"/>
  <c r="AD126" i="1"/>
  <c r="AE126" i="1"/>
  <c r="AF126" i="1"/>
  <c r="AG126" i="1"/>
  <c r="AH126" i="1"/>
  <c r="AI126" i="1"/>
  <c r="AD127" i="1"/>
  <c r="AE127" i="1"/>
  <c r="AF127" i="1"/>
  <c r="AG127" i="1"/>
  <c r="AH127" i="1"/>
  <c r="AI127" i="1"/>
  <c r="AD128" i="1"/>
  <c r="AE128" i="1"/>
  <c r="AF128" i="1"/>
  <c r="AG128" i="1"/>
  <c r="AH128" i="1"/>
  <c r="AI128" i="1"/>
  <c r="AD129" i="1"/>
  <c r="AE129" i="1"/>
  <c r="AF129" i="1"/>
  <c r="AG129" i="1"/>
  <c r="AH129" i="1"/>
  <c r="AI129" i="1"/>
  <c r="AD130" i="1"/>
  <c r="AE130" i="1"/>
  <c r="AF130" i="1"/>
  <c r="AG130" i="1"/>
  <c r="AH130" i="1"/>
  <c r="AI130" i="1"/>
  <c r="AD131" i="1"/>
  <c r="AE131" i="1"/>
  <c r="AF131" i="1"/>
  <c r="AG131" i="1"/>
  <c r="AH131" i="1"/>
  <c r="AI131" i="1"/>
  <c r="AD132" i="1"/>
  <c r="AE132" i="1"/>
  <c r="AF132" i="1"/>
  <c r="AG132" i="1"/>
  <c r="AH132" i="1"/>
  <c r="AI132" i="1"/>
  <c r="AD133" i="1"/>
  <c r="AE133" i="1"/>
  <c r="AF133" i="1"/>
  <c r="AG133" i="1"/>
  <c r="AH133" i="1"/>
  <c r="AI133" i="1"/>
  <c r="AD134" i="1"/>
  <c r="AE134" i="1"/>
  <c r="AF134" i="1"/>
  <c r="AG134" i="1"/>
  <c r="AH134" i="1"/>
  <c r="AI134" i="1"/>
  <c r="AD135" i="1"/>
  <c r="AE135" i="1"/>
  <c r="AF135" i="1"/>
  <c r="AG135" i="1"/>
  <c r="AH135" i="1"/>
  <c r="AI135" i="1"/>
  <c r="AD136" i="1"/>
  <c r="AE136" i="1"/>
  <c r="AF136" i="1"/>
  <c r="AG136" i="1"/>
  <c r="AH136" i="1"/>
  <c r="AD137" i="1"/>
  <c r="AE137" i="1"/>
  <c r="AF137" i="1"/>
  <c r="AG137" i="1"/>
  <c r="AH137" i="1"/>
  <c r="AI137" i="1"/>
  <c r="AD138" i="1"/>
  <c r="AE138" i="1"/>
  <c r="AF138" i="1"/>
  <c r="AG138" i="1"/>
  <c r="AH138" i="1"/>
  <c r="AI138" i="1"/>
  <c r="AD139" i="1"/>
  <c r="AE139" i="1"/>
  <c r="AF139" i="1"/>
  <c r="AG139" i="1"/>
  <c r="AH139" i="1"/>
  <c r="AI139" i="1"/>
  <c r="AD140" i="1"/>
  <c r="AE140" i="1"/>
  <c r="AF140" i="1"/>
  <c r="AG140" i="1"/>
  <c r="AH140" i="1"/>
  <c r="AI140" i="1"/>
  <c r="AD141" i="1"/>
  <c r="AE141" i="1"/>
  <c r="AF141" i="1"/>
  <c r="AG141" i="1"/>
  <c r="AH141" i="1"/>
  <c r="AI141" i="1"/>
  <c r="AD142" i="1"/>
  <c r="AE142" i="1"/>
  <c r="AF142" i="1"/>
  <c r="AG142" i="1"/>
  <c r="AH142" i="1"/>
  <c r="AI142" i="1"/>
  <c r="AD143" i="1"/>
  <c r="AE143" i="1"/>
  <c r="AF143" i="1"/>
  <c r="AG143" i="1"/>
  <c r="AH143" i="1"/>
  <c r="AI143" i="1"/>
  <c r="AD144" i="1"/>
  <c r="AE144" i="1"/>
  <c r="AF144" i="1"/>
  <c r="AG144" i="1"/>
  <c r="AH144" i="1"/>
  <c r="AI144" i="1"/>
  <c r="AD145" i="1"/>
  <c r="AE145" i="1"/>
  <c r="AF145" i="1"/>
  <c r="AG145" i="1"/>
  <c r="AH145" i="1"/>
  <c r="AI145" i="1"/>
  <c r="AD146" i="1"/>
  <c r="AE146" i="1"/>
  <c r="AF146" i="1"/>
  <c r="AG146" i="1"/>
  <c r="AH146" i="1"/>
  <c r="AI146" i="1"/>
  <c r="AD147" i="1"/>
  <c r="AE147" i="1"/>
  <c r="AF147" i="1"/>
  <c r="AG147" i="1"/>
  <c r="AH147" i="1"/>
  <c r="AI147" i="1"/>
  <c r="AD148" i="1"/>
  <c r="AE148" i="1"/>
  <c r="AF148" i="1"/>
  <c r="AG148" i="1"/>
  <c r="AH148" i="1"/>
  <c r="AI148" i="1"/>
  <c r="AD149" i="1"/>
  <c r="AE149" i="1"/>
  <c r="AF149" i="1"/>
  <c r="AG149" i="1"/>
  <c r="AH149" i="1"/>
  <c r="AI149" i="1"/>
  <c r="AD150" i="1"/>
  <c r="AE150" i="1"/>
  <c r="AF150" i="1"/>
  <c r="AG150" i="1"/>
  <c r="AH150" i="1"/>
  <c r="AD151" i="1"/>
  <c r="AE151" i="1"/>
  <c r="AF151" i="1"/>
  <c r="AG151" i="1"/>
  <c r="AH151" i="1"/>
  <c r="AI151" i="1"/>
  <c r="AD152" i="1"/>
  <c r="AE152" i="1"/>
  <c r="AF152" i="1"/>
  <c r="AG152" i="1"/>
  <c r="AH152" i="1"/>
  <c r="AI152" i="1"/>
  <c r="AD153" i="1"/>
  <c r="AE153" i="1"/>
  <c r="AF153" i="1"/>
  <c r="AG153" i="1"/>
  <c r="AH153" i="1"/>
  <c r="AI153" i="1"/>
  <c r="AD154" i="1"/>
  <c r="AE154" i="1"/>
  <c r="AF154" i="1"/>
  <c r="AG154" i="1"/>
  <c r="AH154" i="1"/>
  <c r="AI154" i="1"/>
  <c r="AD155" i="1"/>
  <c r="AE155" i="1"/>
  <c r="AF155" i="1"/>
  <c r="AG155" i="1"/>
  <c r="AH155" i="1"/>
  <c r="AI155" i="1"/>
  <c r="AD156" i="1"/>
  <c r="AE156" i="1"/>
  <c r="AF156" i="1"/>
  <c r="AG156" i="1"/>
  <c r="AH156" i="1"/>
  <c r="AI156" i="1"/>
  <c r="AD157" i="1"/>
  <c r="AE157" i="1"/>
  <c r="AF157" i="1"/>
  <c r="AG157" i="1"/>
  <c r="AH157" i="1"/>
  <c r="AI157" i="1"/>
  <c r="AD158" i="1"/>
  <c r="AE158" i="1"/>
  <c r="AF158" i="1"/>
  <c r="AG158" i="1"/>
  <c r="AH158" i="1"/>
  <c r="AI158" i="1"/>
  <c r="AD159" i="1"/>
  <c r="AE159" i="1"/>
  <c r="AF159" i="1"/>
  <c r="AG159" i="1"/>
  <c r="AH159" i="1"/>
  <c r="AI159" i="1"/>
  <c r="AD160" i="1"/>
  <c r="AE160" i="1"/>
  <c r="AF160" i="1"/>
  <c r="AG160" i="1"/>
  <c r="AH160" i="1"/>
  <c r="AI160" i="1"/>
  <c r="AD161" i="1"/>
  <c r="AE161" i="1"/>
  <c r="AF161" i="1"/>
  <c r="AG161" i="1"/>
  <c r="AH161" i="1"/>
  <c r="AI161" i="1"/>
  <c r="AD162" i="1"/>
  <c r="AE162" i="1"/>
  <c r="AF162" i="1"/>
  <c r="AG162" i="1"/>
  <c r="AH162" i="1"/>
  <c r="AI162" i="1"/>
  <c r="AD163" i="1"/>
  <c r="AE163" i="1"/>
  <c r="AF163" i="1"/>
  <c r="AG163" i="1"/>
  <c r="AH163" i="1"/>
  <c r="AI163" i="1"/>
  <c r="AD164" i="1"/>
  <c r="AE164" i="1"/>
  <c r="AF164" i="1"/>
  <c r="AG164" i="1"/>
  <c r="AH164" i="1"/>
  <c r="AI164" i="1"/>
  <c r="AD165" i="1"/>
  <c r="AE165" i="1"/>
  <c r="AF165" i="1"/>
  <c r="AG165" i="1"/>
  <c r="AH165" i="1"/>
  <c r="AD166" i="1"/>
  <c r="AE166" i="1"/>
  <c r="AF166" i="1"/>
  <c r="AG166" i="1"/>
  <c r="AH166" i="1"/>
  <c r="AI166" i="1"/>
  <c r="AD167" i="1"/>
  <c r="AE167" i="1"/>
  <c r="AF167" i="1"/>
  <c r="AG167" i="1"/>
  <c r="AH167" i="1"/>
  <c r="AI167" i="1"/>
  <c r="AD168" i="1"/>
  <c r="AE168" i="1"/>
  <c r="AF168" i="1"/>
  <c r="AG168" i="1"/>
  <c r="AH168" i="1"/>
  <c r="AI168" i="1"/>
  <c r="AD169" i="1"/>
  <c r="AE169" i="1"/>
  <c r="AF169" i="1"/>
  <c r="AG169" i="1"/>
  <c r="AH169" i="1"/>
  <c r="AI169" i="1"/>
  <c r="AD170" i="1"/>
  <c r="AE170" i="1"/>
  <c r="AF170" i="1"/>
  <c r="AG170" i="1"/>
  <c r="AH170" i="1"/>
  <c r="AI170" i="1"/>
  <c r="AD171" i="1"/>
  <c r="AE171" i="1"/>
  <c r="AF171" i="1"/>
  <c r="AG171" i="1"/>
  <c r="AH171" i="1"/>
  <c r="AI171" i="1"/>
  <c r="AD172" i="1"/>
  <c r="AE172" i="1"/>
  <c r="AF172" i="1"/>
  <c r="AG172" i="1"/>
  <c r="AH172" i="1"/>
  <c r="AI172" i="1"/>
  <c r="AD173" i="1"/>
  <c r="AE173" i="1"/>
  <c r="AF173" i="1"/>
  <c r="AG173" i="1"/>
  <c r="AH173" i="1"/>
  <c r="AI173" i="1"/>
  <c r="AD174" i="1"/>
  <c r="AE174" i="1"/>
  <c r="AF174" i="1"/>
  <c r="AG174" i="1"/>
  <c r="AH174" i="1"/>
  <c r="AI174" i="1"/>
  <c r="AD175" i="1"/>
  <c r="AE175" i="1"/>
  <c r="AF175" i="1"/>
  <c r="AG175" i="1"/>
  <c r="AH175" i="1"/>
  <c r="AI175" i="1"/>
  <c r="AD176" i="1"/>
  <c r="AE176" i="1"/>
  <c r="AF176" i="1"/>
  <c r="AG176" i="1"/>
  <c r="AH176" i="1"/>
  <c r="AI176" i="1"/>
  <c r="AD177" i="1"/>
  <c r="AE177" i="1"/>
  <c r="AF177" i="1"/>
  <c r="AG177" i="1"/>
  <c r="AH177" i="1"/>
  <c r="AI177" i="1"/>
  <c r="AD178" i="1"/>
  <c r="AE178" i="1"/>
  <c r="AF178" i="1"/>
  <c r="AG178" i="1"/>
  <c r="AH178" i="1"/>
  <c r="AI178" i="1"/>
  <c r="AD179" i="1"/>
  <c r="AE179" i="1"/>
  <c r="AF179" i="1"/>
  <c r="AG179" i="1"/>
  <c r="AH179" i="1"/>
  <c r="AI179" i="1"/>
  <c r="AD180" i="1"/>
  <c r="AE180" i="1"/>
  <c r="AF180" i="1"/>
  <c r="AG180" i="1"/>
  <c r="AH180" i="1"/>
  <c r="AI180" i="1"/>
  <c r="AD181" i="1"/>
  <c r="AE181" i="1"/>
  <c r="AF181" i="1"/>
  <c r="AG181" i="1"/>
  <c r="AH181" i="1"/>
  <c r="AI181" i="1"/>
  <c r="AD182" i="1"/>
  <c r="AE182" i="1"/>
  <c r="AF182" i="1"/>
  <c r="AG182" i="1"/>
  <c r="AH182" i="1"/>
  <c r="AI182" i="1"/>
  <c r="AD183" i="1"/>
  <c r="AE183" i="1"/>
  <c r="AF183" i="1"/>
  <c r="AG183" i="1"/>
  <c r="AH183" i="1"/>
  <c r="AI183" i="1"/>
  <c r="AD184" i="1"/>
  <c r="AE184" i="1"/>
  <c r="AF184" i="1"/>
  <c r="AG184" i="1"/>
  <c r="AH184" i="1"/>
  <c r="AI184" i="1"/>
  <c r="AD185" i="1"/>
  <c r="AE185" i="1"/>
  <c r="AF185" i="1"/>
  <c r="AG185" i="1"/>
  <c r="AH185" i="1"/>
  <c r="AI185" i="1"/>
  <c r="AD186" i="1"/>
  <c r="AE186" i="1"/>
  <c r="AF186" i="1"/>
  <c r="AG186" i="1"/>
  <c r="AH186" i="1"/>
  <c r="AI186" i="1"/>
  <c r="AD187" i="1"/>
  <c r="AE187" i="1"/>
  <c r="AF187" i="1"/>
  <c r="AG187" i="1"/>
  <c r="AH187" i="1"/>
  <c r="AI187" i="1"/>
  <c r="AD188" i="1"/>
  <c r="AE188" i="1"/>
  <c r="AF188" i="1"/>
  <c r="AG188" i="1"/>
  <c r="AH188" i="1"/>
  <c r="AI188" i="1"/>
  <c r="AD189" i="1"/>
  <c r="AE189" i="1"/>
  <c r="AF189" i="1"/>
  <c r="AG189" i="1"/>
  <c r="AH189" i="1"/>
  <c r="AI189" i="1"/>
  <c r="AD190" i="1"/>
  <c r="AE190" i="1"/>
  <c r="AF190" i="1"/>
  <c r="AG190" i="1"/>
  <c r="AH190" i="1"/>
  <c r="AI190" i="1"/>
  <c r="AD191" i="1"/>
  <c r="AE191" i="1"/>
  <c r="AF191" i="1"/>
  <c r="AG191" i="1"/>
  <c r="AH191" i="1"/>
  <c r="AI191" i="1"/>
  <c r="AD192" i="1"/>
  <c r="AE192" i="1"/>
  <c r="AF192" i="1"/>
  <c r="AG192" i="1"/>
  <c r="AH192" i="1"/>
  <c r="AI192" i="1"/>
  <c r="AD193" i="1"/>
  <c r="AE193" i="1"/>
  <c r="AF193" i="1"/>
  <c r="AG193" i="1"/>
  <c r="AH193" i="1"/>
  <c r="AI193" i="1"/>
  <c r="AD194" i="1"/>
  <c r="AE194" i="1"/>
  <c r="AF194" i="1"/>
  <c r="AG194" i="1"/>
  <c r="AH194" i="1"/>
  <c r="AI194" i="1"/>
  <c r="AD195" i="1"/>
  <c r="AE195" i="1"/>
  <c r="AF195" i="1"/>
  <c r="AG195" i="1"/>
  <c r="AH195" i="1"/>
  <c r="AI195" i="1"/>
  <c r="AD196" i="1"/>
  <c r="AE196" i="1"/>
  <c r="AF196" i="1"/>
  <c r="AG196" i="1"/>
  <c r="AH196" i="1"/>
  <c r="AI196" i="1"/>
  <c r="AD197" i="1"/>
  <c r="AE197" i="1"/>
  <c r="AF197" i="1"/>
  <c r="AG197" i="1"/>
  <c r="AH197" i="1"/>
  <c r="AI197" i="1"/>
  <c r="AD198" i="1"/>
  <c r="AE198" i="1"/>
  <c r="AF198" i="1"/>
  <c r="AG198" i="1"/>
  <c r="AH198" i="1"/>
  <c r="AI198" i="1"/>
  <c r="AD199" i="1"/>
  <c r="AE199" i="1"/>
  <c r="AF199" i="1"/>
  <c r="AG199" i="1"/>
  <c r="AH199" i="1"/>
  <c r="AI199" i="1"/>
  <c r="AD200" i="1"/>
  <c r="AE200" i="1"/>
  <c r="AF200" i="1"/>
  <c r="AG200" i="1"/>
  <c r="AH200" i="1"/>
  <c r="AI200" i="1"/>
  <c r="AD201" i="1"/>
  <c r="AE201" i="1"/>
  <c r="AF201" i="1"/>
  <c r="AG201" i="1"/>
  <c r="AH201" i="1"/>
  <c r="AD202" i="1"/>
  <c r="AE202" i="1"/>
  <c r="AF202" i="1"/>
  <c r="AG202" i="1"/>
  <c r="AH202" i="1"/>
  <c r="AI202" i="1"/>
  <c r="AD203" i="1"/>
  <c r="AE203" i="1"/>
  <c r="AF203" i="1"/>
  <c r="AG203" i="1"/>
  <c r="AH203" i="1"/>
  <c r="AI203" i="1"/>
  <c r="AD204" i="1"/>
  <c r="AE204" i="1"/>
  <c r="AF204" i="1"/>
  <c r="AG204" i="1"/>
  <c r="AH204" i="1"/>
  <c r="AI204" i="1"/>
  <c r="AD205" i="1"/>
  <c r="AE205" i="1"/>
  <c r="AF205" i="1"/>
  <c r="AG205" i="1"/>
  <c r="AH205" i="1"/>
  <c r="AI205" i="1"/>
  <c r="AD206" i="1"/>
  <c r="AE206" i="1"/>
  <c r="AF206" i="1"/>
  <c r="AG206" i="1"/>
  <c r="AH206" i="1"/>
  <c r="AI206" i="1"/>
  <c r="AD207" i="1"/>
  <c r="AE207" i="1"/>
  <c r="AF207" i="1"/>
  <c r="AG207" i="1"/>
  <c r="AH207" i="1"/>
  <c r="AI207" i="1"/>
  <c r="AD208" i="1"/>
  <c r="AE208" i="1"/>
  <c r="AF208" i="1"/>
  <c r="AG208" i="1"/>
  <c r="AH208" i="1"/>
  <c r="AI208" i="1"/>
  <c r="AD209" i="1"/>
  <c r="AE209" i="1"/>
  <c r="AF209" i="1"/>
  <c r="AG209" i="1"/>
  <c r="AH209" i="1"/>
  <c r="AI209" i="1"/>
  <c r="AD210" i="1"/>
  <c r="AE210" i="1"/>
  <c r="AF210" i="1"/>
  <c r="AG210" i="1"/>
  <c r="AH210" i="1"/>
  <c r="AI210" i="1"/>
  <c r="AD211" i="1"/>
  <c r="AE211" i="1"/>
  <c r="AF211" i="1"/>
  <c r="AG211" i="1"/>
  <c r="AH211" i="1"/>
  <c r="AI211" i="1"/>
  <c r="AD212" i="1"/>
  <c r="AE212" i="1"/>
  <c r="AF212" i="1"/>
  <c r="AG212" i="1"/>
  <c r="AH212" i="1"/>
  <c r="AI212" i="1"/>
  <c r="AD213" i="1"/>
  <c r="AE213" i="1"/>
  <c r="AF213" i="1"/>
  <c r="AG213" i="1"/>
  <c r="AH213" i="1"/>
  <c r="AI213" i="1"/>
  <c r="AD214" i="1"/>
  <c r="AE214" i="1"/>
  <c r="AF214" i="1"/>
  <c r="AG214" i="1"/>
  <c r="AH214" i="1"/>
  <c r="AI214" i="1"/>
  <c r="AD215" i="1"/>
  <c r="AE215" i="1"/>
  <c r="AF215" i="1"/>
  <c r="AG215" i="1"/>
  <c r="AH215" i="1"/>
  <c r="AI215" i="1"/>
  <c r="AD216" i="1"/>
  <c r="AE216" i="1"/>
  <c r="AF216" i="1"/>
  <c r="AG216" i="1"/>
  <c r="AH216" i="1"/>
  <c r="AI216" i="1"/>
  <c r="AD217" i="1"/>
  <c r="AE217" i="1"/>
  <c r="AF217" i="1"/>
  <c r="AG217" i="1"/>
  <c r="AH217" i="1"/>
  <c r="AI217" i="1"/>
  <c r="AD218" i="1"/>
  <c r="AE218" i="1"/>
  <c r="AF218" i="1"/>
  <c r="AG218" i="1"/>
  <c r="AH218" i="1"/>
  <c r="AI218" i="1"/>
  <c r="AD219" i="1"/>
  <c r="AE219" i="1"/>
  <c r="AF219" i="1"/>
  <c r="AG219" i="1"/>
  <c r="AH219" i="1"/>
  <c r="AI219" i="1"/>
  <c r="AD220" i="1"/>
  <c r="AE220" i="1"/>
  <c r="AF220" i="1"/>
  <c r="AG220" i="1"/>
  <c r="AH220" i="1"/>
  <c r="AI220" i="1"/>
  <c r="AD221" i="1"/>
  <c r="AE221" i="1"/>
  <c r="AF221" i="1"/>
  <c r="AG221" i="1"/>
  <c r="AH221" i="1"/>
  <c r="AI221" i="1"/>
  <c r="AD222" i="1"/>
  <c r="AE222" i="1"/>
  <c r="AF222" i="1"/>
  <c r="AG222" i="1"/>
  <c r="AH222" i="1"/>
  <c r="AI222" i="1"/>
  <c r="AD223" i="1"/>
  <c r="AE223" i="1"/>
  <c r="AF223" i="1"/>
  <c r="AG223" i="1"/>
  <c r="AH223" i="1"/>
  <c r="AI223" i="1"/>
  <c r="AD224" i="1"/>
  <c r="AE224" i="1"/>
  <c r="AF224" i="1"/>
  <c r="AG224" i="1"/>
  <c r="AH224" i="1"/>
  <c r="AI224" i="1"/>
  <c r="AD225" i="1"/>
  <c r="AE225" i="1"/>
  <c r="AF225" i="1"/>
  <c r="AG225" i="1"/>
  <c r="AH225" i="1"/>
  <c r="AI225" i="1"/>
  <c r="AD226" i="1"/>
  <c r="AE226" i="1"/>
  <c r="AF226" i="1"/>
  <c r="AG226" i="1"/>
  <c r="AH226" i="1"/>
  <c r="AI226" i="1"/>
  <c r="AD227" i="1"/>
  <c r="AE227" i="1"/>
  <c r="AF227" i="1"/>
  <c r="AG227" i="1"/>
  <c r="AH227" i="1"/>
  <c r="AI227" i="1"/>
  <c r="AD228" i="1"/>
  <c r="AE228" i="1"/>
  <c r="AF228" i="1"/>
  <c r="AG228" i="1"/>
  <c r="AH228" i="1"/>
  <c r="AI228" i="1"/>
  <c r="AD229" i="1"/>
  <c r="AE229" i="1"/>
  <c r="AF229" i="1"/>
  <c r="AG229" i="1"/>
  <c r="AH229" i="1"/>
  <c r="AI229" i="1"/>
  <c r="AD230" i="1"/>
  <c r="AE230" i="1"/>
  <c r="AF230" i="1"/>
  <c r="AG230" i="1"/>
  <c r="AH230" i="1"/>
  <c r="AI230" i="1"/>
  <c r="AD231" i="1"/>
  <c r="AE231" i="1"/>
  <c r="AF231" i="1"/>
  <c r="AG231" i="1"/>
  <c r="AH231" i="1"/>
  <c r="AI231" i="1"/>
  <c r="AD232" i="1"/>
  <c r="AE232" i="1"/>
  <c r="AF232" i="1"/>
  <c r="AG232" i="1"/>
  <c r="AH232" i="1"/>
  <c r="AI232" i="1"/>
  <c r="AD233" i="1"/>
  <c r="AE233" i="1"/>
  <c r="AF233" i="1"/>
  <c r="AG233" i="1"/>
  <c r="AH233" i="1"/>
  <c r="AI233" i="1"/>
  <c r="AD234" i="1"/>
  <c r="AE234" i="1"/>
  <c r="AF234" i="1"/>
  <c r="AG234" i="1"/>
  <c r="AH234" i="1"/>
  <c r="AI234" i="1"/>
  <c r="AD235" i="1"/>
  <c r="AE235" i="1"/>
  <c r="AF235" i="1"/>
  <c r="AG235" i="1"/>
  <c r="AH235" i="1"/>
  <c r="AD236" i="1"/>
  <c r="AE236" i="1"/>
  <c r="AF236" i="1"/>
  <c r="AG236" i="1"/>
  <c r="AH236" i="1"/>
  <c r="AI236" i="1"/>
  <c r="AD237" i="1"/>
  <c r="AE237" i="1"/>
  <c r="AF237" i="1"/>
  <c r="AG237" i="1"/>
  <c r="AH237" i="1"/>
  <c r="AI237" i="1"/>
  <c r="AD238" i="1"/>
  <c r="AE238" i="1"/>
  <c r="AF238" i="1"/>
  <c r="AG238" i="1"/>
  <c r="AH238" i="1"/>
  <c r="AI238" i="1"/>
  <c r="AD239" i="1"/>
  <c r="AE239" i="1"/>
  <c r="AF239" i="1"/>
  <c r="AG239" i="1"/>
  <c r="AH239" i="1"/>
  <c r="AI239" i="1"/>
  <c r="AD240" i="1"/>
  <c r="AE240" i="1"/>
  <c r="AF240" i="1"/>
  <c r="AG240" i="1"/>
  <c r="AH240" i="1"/>
  <c r="AI240" i="1"/>
  <c r="AD241" i="1"/>
  <c r="AE241" i="1"/>
  <c r="AF241" i="1"/>
  <c r="AG241" i="1"/>
  <c r="AH241" i="1"/>
  <c r="AI241" i="1"/>
  <c r="AD242" i="1"/>
  <c r="AE242" i="1"/>
  <c r="AF242" i="1"/>
  <c r="AG242" i="1"/>
  <c r="AH242" i="1"/>
  <c r="AI242" i="1"/>
  <c r="AD243" i="1"/>
  <c r="AE243" i="1"/>
  <c r="AF243" i="1"/>
  <c r="AG243" i="1"/>
  <c r="AH243" i="1"/>
  <c r="AI243" i="1"/>
  <c r="AD244" i="1"/>
  <c r="AE244" i="1"/>
  <c r="AF244" i="1"/>
  <c r="AG244" i="1"/>
  <c r="AH244" i="1"/>
  <c r="AI244" i="1"/>
  <c r="AD245" i="1"/>
  <c r="AE245" i="1"/>
  <c r="AF245" i="1"/>
  <c r="AG245" i="1"/>
  <c r="AH245" i="1"/>
  <c r="AI245" i="1"/>
  <c r="AD246" i="1"/>
  <c r="AE246" i="1"/>
  <c r="AF246" i="1"/>
  <c r="AG246" i="1"/>
  <c r="AH246" i="1"/>
  <c r="AI246" i="1"/>
  <c r="AD247" i="1"/>
  <c r="AE247" i="1"/>
  <c r="AF247" i="1"/>
  <c r="AG247" i="1"/>
  <c r="AH247" i="1"/>
  <c r="AI247" i="1"/>
  <c r="AD248" i="1"/>
  <c r="AE248" i="1"/>
  <c r="AF248" i="1"/>
  <c r="AG248" i="1"/>
  <c r="AH248" i="1"/>
  <c r="AI248" i="1"/>
  <c r="AD249" i="1"/>
  <c r="AE249" i="1"/>
  <c r="AF249" i="1"/>
  <c r="AG249" i="1"/>
  <c r="AH249" i="1"/>
  <c r="AI249" i="1"/>
  <c r="AD250" i="1"/>
  <c r="AE250" i="1"/>
  <c r="AF250" i="1"/>
  <c r="AG250" i="1"/>
  <c r="AH250" i="1"/>
  <c r="AI250" i="1"/>
  <c r="AD251" i="1"/>
  <c r="AE251" i="1"/>
  <c r="AF251" i="1"/>
  <c r="AG251" i="1"/>
  <c r="AH251" i="1"/>
  <c r="AI251" i="1"/>
  <c r="AD252" i="1"/>
  <c r="AE252" i="1"/>
  <c r="AF252" i="1"/>
  <c r="AG252" i="1"/>
  <c r="AH252" i="1"/>
  <c r="AI252" i="1"/>
  <c r="AD253" i="1"/>
  <c r="AE253" i="1"/>
  <c r="AF253" i="1"/>
  <c r="AG253" i="1"/>
  <c r="AH253" i="1"/>
  <c r="AI253" i="1"/>
  <c r="AD254" i="1"/>
  <c r="AE254" i="1"/>
  <c r="AF254" i="1"/>
  <c r="AG254" i="1"/>
  <c r="AH254" i="1"/>
  <c r="AI254" i="1"/>
  <c r="AD255" i="1"/>
  <c r="AE255" i="1"/>
  <c r="AF255" i="1"/>
  <c r="AG255" i="1"/>
  <c r="AH255" i="1"/>
  <c r="AI255" i="1"/>
  <c r="AD256" i="1"/>
  <c r="AE256" i="1"/>
  <c r="AF256" i="1"/>
  <c r="AG256" i="1"/>
  <c r="AH256" i="1"/>
  <c r="AI256" i="1"/>
  <c r="AD257" i="1"/>
  <c r="AE257" i="1"/>
  <c r="AF257" i="1"/>
  <c r="AG257" i="1"/>
  <c r="AH257" i="1"/>
  <c r="AI257" i="1"/>
  <c r="AD258" i="1"/>
  <c r="AE258" i="1"/>
  <c r="AF258" i="1"/>
  <c r="AG258" i="1"/>
  <c r="AH258" i="1"/>
  <c r="AI258" i="1"/>
  <c r="AD259" i="1"/>
  <c r="AE259" i="1"/>
  <c r="AF259" i="1"/>
  <c r="AG259" i="1"/>
  <c r="AH259" i="1"/>
  <c r="AI259" i="1"/>
  <c r="AD260" i="1"/>
  <c r="AE260" i="1"/>
  <c r="AF260" i="1"/>
  <c r="AG260" i="1"/>
  <c r="AH260" i="1"/>
  <c r="AI260" i="1"/>
  <c r="AD261" i="1"/>
  <c r="AE261" i="1"/>
  <c r="AF261" i="1"/>
  <c r="AG261" i="1"/>
  <c r="AH261" i="1"/>
  <c r="AI261" i="1"/>
  <c r="AD262" i="1"/>
  <c r="AE262" i="1"/>
  <c r="AF262" i="1"/>
  <c r="AG262" i="1"/>
  <c r="AH262" i="1"/>
  <c r="AI262" i="1"/>
  <c r="AD263" i="1"/>
  <c r="AE263" i="1"/>
  <c r="AF263" i="1"/>
  <c r="AG263" i="1"/>
  <c r="AH263" i="1"/>
  <c r="AI263" i="1"/>
  <c r="AD264" i="1"/>
  <c r="AE264" i="1"/>
  <c r="AF264" i="1"/>
  <c r="AG264" i="1"/>
  <c r="AH264" i="1"/>
  <c r="AI264" i="1"/>
  <c r="AD265" i="1"/>
  <c r="AE265" i="1"/>
  <c r="AF265" i="1"/>
  <c r="AG265" i="1"/>
  <c r="AH265" i="1"/>
  <c r="AI265" i="1"/>
  <c r="AD266" i="1"/>
  <c r="AE266" i="1"/>
  <c r="AF266" i="1"/>
  <c r="AG266" i="1"/>
  <c r="AH266" i="1"/>
  <c r="AI266" i="1"/>
  <c r="AD267" i="1"/>
  <c r="AE267" i="1"/>
  <c r="AF267" i="1"/>
  <c r="AG267" i="1"/>
  <c r="AH267" i="1"/>
  <c r="AI267" i="1"/>
  <c r="AD268" i="1"/>
  <c r="AE268" i="1"/>
  <c r="AF268" i="1"/>
  <c r="AG268" i="1"/>
  <c r="AH268" i="1"/>
  <c r="AI268" i="1"/>
  <c r="AD269" i="1"/>
  <c r="AE269" i="1"/>
  <c r="AF269" i="1"/>
  <c r="AG269" i="1"/>
  <c r="AH269" i="1"/>
  <c r="AI269" i="1"/>
  <c r="AD270" i="1"/>
  <c r="AE270" i="1"/>
  <c r="AF270" i="1"/>
  <c r="AG270" i="1"/>
  <c r="AH270" i="1"/>
  <c r="AI270" i="1"/>
  <c r="AD271" i="1"/>
  <c r="AE271" i="1"/>
  <c r="AF271" i="1"/>
  <c r="AG271" i="1"/>
  <c r="AH271" i="1"/>
  <c r="AI271" i="1"/>
  <c r="AD272" i="1"/>
  <c r="AE272" i="1"/>
  <c r="AF272" i="1"/>
  <c r="AG272" i="1"/>
  <c r="AH272" i="1"/>
  <c r="AI272" i="1"/>
  <c r="AD273" i="1"/>
  <c r="AE273" i="1"/>
  <c r="AF273" i="1"/>
  <c r="AG273" i="1"/>
  <c r="AH273" i="1"/>
  <c r="AI273" i="1"/>
  <c r="AD274" i="1"/>
  <c r="AE274" i="1"/>
  <c r="AF274" i="1"/>
  <c r="AG274" i="1"/>
  <c r="AH274" i="1"/>
  <c r="AI274" i="1"/>
  <c r="AD275" i="1"/>
  <c r="AE275" i="1"/>
  <c r="AF275" i="1"/>
  <c r="AG275" i="1"/>
  <c r="AH275" i="1"/>
  <c r="AI275" i="1"/>
  <c r="AD276" i="1"/>
  <c r="AE276" i="1"/>
  <c r="AF276" i="1"/>
  <c r="AG276" i="1"/>
  <c r="AH276" i="1"/>
  <c r="AI276" i="1"/>
  <c r="AD277" i="1"/>
  <c r="AE277" i="1"/>
  <c r="AF277" i="1"/>
  <c r="AG277" i="1"/>
  <c r="AH277" i="1"/>
  <c r="AI277" i="1"/>
  <c r="AD278" i="1"/>
  <c r="AE278" i="1"/>
  <c r="AF278" i="1"/>
  <c r="AG278" i="1"/>
  <c r="AH278" i="1"/>
  <c r="AI278" i="1"/>
  <c r="AD279" i="1"/>
  <c r="AE279" i="1"/>
  <c r="AF279" i="1"/>
  <c r="AG279" i="1"/>
  <c r="AH279" i="1"/>
  <c r="AI279" i="1"/>
  <c r="AD280" i="1"/>
  <c r="AE280" i="1"/>
  <c r="AF280" i="1"/>
  <c r="AG280" i="1"/>
  <c r="AH280" i="1"/>
  <c r="AI280" i="1"/>
  <c r="AD281" i="1"/>
  <c r="AE281" i="1"/>
  <c r="AF281" i="1"/>
  <c r="AG281" i="1"/>
  <c r="AH281" i="1"/>
  <c r="AI281" i="1"/>
  <c r="AD282" i="1"/>
  <c r="AE282" i="1"/>
  <c r="AF282" i="1"/>
  <c r="AG282" i="1"/>
  <c r="AH282" i="1"/>
  <c r="AI282" i="1"/>
  <c r="AD283" i="1"/>
  <c r="AE283" i="1"/>
  <c r="AF283" i="1"/>
  <c r="AG283" i="1"/>
  <c r="AH283" i="1"/>
  <c r="AI283" i="1"/>
  <c r="AD284" i="1"/>
  <c r="AE284" i="1"/>
  <c r="AF284" i="1"/>
  <c r="AG284" i="1"/>
  <c r="AH284" i="1"/>
  <c r="AI284" i="1"/>
  <c r="AD285" i="1"/>
  <c r="AE285" i="1"/>
  <c r="AF285" i="1"/>
  <c r="AG285" i="1"/>
  <c r="AH285" i="1"/>
  <c r="AI285" i="1"/>
  <c r="AD286" i="1"/>
  <c r="AE286" i="1"/>
  <c r="AF286" i="1"/>
  <c r="AG286" i="1"/>
  <c r="AH286" i="1"/>
  <c r="AI286" i="1"/>
  <c r="AD287" i="1"/>
  <c r="AE287" i="1"/>
  <c r="AF287" i="1"/>
  <c r="AG287" i="1"/>
  <c r="AH287" i="1"/>
  <c r="AI287" i="1"/>
  <c r="AD288" i="1"/>
  <c r="AE288" i="1"/>
  <c r="AF288" i="1"/>
  <c r="AG288" i="1"/>
  <c r="AH288" i="1"/>
  <c r="AI288" i="1"/>
  <c r="AD289" i="1"/>
  <c r="AE289" i="1"/>
  <c r="AF289" i="1"/>
  <c r="AG289" i="1"/>
  <c r="AH289" i="1"/>
  <c r="AI289" i="1"/>
  <c r="AD290" i="1"/>
  <c r="AE290" i="1"/>
  <c r="AF290" i="1"/>
  <c r="AG290" i="1"/>
  <c r="AH290" i="1"/>
  <c r="AI290" i="1"/>
  <c r="AD291" i="1"/>
  <c r="AE291" i="1"/>
  <c r="AF291" i="1"/>
  <c r="AG291" i="1"/>
  <c r="AH291" i="1"/>
  <c r="AI291" i="1"/>
  <c r="AD292" i="1"/>
  <c r="AE292" i="1"/>
  <c r="AF292" i="1"/>
  <c r="AG292" i="1"/>
  <c r="AH292" i="1"/>
  <c r="AI292" i="1"/>
  <c r="AD293" i="1"/>
  <c r="AE293" i="1"/>
  <c r="AF293" i="1"/>
  <c r="AG293" i="1"/>
  <c r="AH293" i="1"/>
  <c r="AI293" i="1"/>
  <c r="AD294" i="1"/>
  <c r="AE294" i="1"/>
  <c r="AF294" i="1"/>
  <c r="AG294" i="1"/>
  <c r="AH294" i="1"/>
  <c r="AI294" i="1"/>
  <c r="AD295" i="1"/>
  <c r="AE295" i="1"/>
  <c r="AF295" i="1"/>
  <c r="AG295" i="1"/>
  <c r="AH295" i="1"/>
  <c r="AI295" i="1"/>
  <c r="AD296" i="1"/>
  <c r="AE296" i="1"/>
  <c r="AF296" i="1"/>
  <c r="AG296" i="1"/>
  <c r="AH296" i="1"/>
  <c r="AI296" i="1"/>
  <c r="AD297" i="1"/>
  <c r="AE297" i="1"/>
  <c r="AF297" i="1"/>
  <c r="AG297" i="1"/>
  <c r="AH297" i="1"/>
  <c r="AI297" i="1"/>
  <c r="AD298" i="1"/>
  <c r="AE298" i="1"/>
  <c r="AF298" i="1"/>
  <c r="AG298" i="1"/>
  <c r="AH298" i="1"/>
  <c r="AI298" i="1"/>
  <c r="AD299" i="1"/>
  <c r="AE299" i="1"/>
  <c r="AF299" i="1"/>
  <c r="AG299" i="1"/>
  <c r="AH299" i="1"/>
  <c r="AI299" i="1"/>
  <c r="AD300" i="1"/>
  <c r="AE300" i="1"/>
  <c r="AF300" i="1"/>
  <c r="AG300" i="1"/>
  <c r="AH300" i="1"/>
  <c r="AI300" i="1"/>
  <c r="AD301" i="1"/>
  <c r="AE301" i="1"/>
  <c r="AF301" i="1"/>
  <c r="AG301" i="1"/>
  <c r="AH301" i="1"/>
  <c r="AI301" i="1"/>
  <c r="AD302" i="1"/>
  <c r="AE302" i="1"/>
  <c r="AF302" i="1"/>
  <c r="AG302" i="1"/>
  <c r="AH302" i="1"/>
  <c r="AI302" i="1"/>
  <c r="AD303" i="1"/>
  <c r="AE303" i="1"/>
  <c r="AF303" i="1"/>
  <c r="AG303" i="1"/>
  <c r="AH303" i="1"/>
  <c r="AI303" i="1"/>
  <c r="AD304" i="1"/>
  <c r="AE304" i="1"/>
  <c r="AF304" i="1"/>
  <c r="AG304" i="1"/>
  <c r="AH304" i="1"/>
  <c r="AI304" i="1"/>
  <c r="AD305" i="1"/>
  <c r="AE305" i="1"/>
  <c r="AF305" i="1"/>
  <c r="AG305" i="1"/>
  <c r="AH305" i="1"/>
  <c r="AI305" i="1"/>
  <c r="AD306" i="1"/>
  <c r="AE306" i="1"/>
  <c r="AF306" i="1"/>
  <c r="AG306" i="1"/>
  <c r="AH306" i="1"/>
  <c r="AI306" i="1"/>
  <c r="AD307" i="1"/>
  <c r="AE307" i="1"/>
  <c r="AF307" i="1"/>
  <c r="AG307" i="1"/>
  <c r="AH307" i="1"/>
  <c r="AI307" i="1"/>
  <c r="AD308" i="1"/>
  <c r="AE308" i="1"/>
  <c r="AF308" i="1"/>
  <c r="AG308" i="1"/>
  <c r="AH308" i="1"/>
  <c r="AI308" i="1"/>
  <c r="AD309" i="1"/>
  <c r="AE309" i="1"/>
  <c r="AF309" i="1"/>
  <c r="AG309" i="1"/>
  <c r="AH309" i="1"/>
  <c r="AI309" i="1"/>
  <c r="AD310" i="1"/>
  <c r="AE310" i="1"/>
  <c r="AF310" i="1"/>
  <c r="AG310" i="1"/>
  <c r="AH310" i="1"/>
  <c r="AI310" i="1"/>
  <c r="AD311" i="1"/>
  <c r="AE311" i="1"/>
  <c r="AF311" i="1"/>
  <c r="AG311" i="1"/>
  <c r="AH311" i="1"/>
  <c r="AI311" i="1"/>
  <c r="AD312" i="1"/>
  <c r="AE312" i="1"/>
  <c r="AF312" i="1"/>
  <c r="AG312" i="1"/>
  <c r="AH312" i="1"/>
  <c r="AI312" i="1"/>
  <c r="AD313" i="1"/>
  <c r="AE313" i="1"/>
  <c r="AF313" i="1"/>
  <c r="AG313" i="1"/>
  <c r="AH313" i="1"/>
  <c r="AI313" i="1"/>
  <c r="AD314" i="1"/>
  <c r="AE314" i="1"/>
  <c r="AF314" i="1"/>
  <c r="AG314" i="1"/>
  <c r="AH314" i="1"/>
  <c r="AI314" i="1"/>
  <c r="AD315" i="1"/>
  <c r="AE315" i="1"/>
  <c r="AF315" i="1"/>
  <c r="AG315" i="1"/>
  <c r="AH315" i="1"/>
  <c r="AI315" i="1"/>
  <c r="AD316" i="1"/>
  <c r="AE316" i="1"/>
  <c r="AF316" i="1"/>
  <c r="AG316" i="1"/>
  <c r="AH316" i="1"/>
  <c r="AI316" i="1"/>
  <c r="AD317" i="1"/>
  <c r="AE317" i="1"/>
  <c r="AF317" i="1"/>
  <c r="AG317" i="1"/>
  <c r="AH317" i="1"/>
  <c r="AI317" i="1"/>
  <c r="AD318" i="1"/>
  <c r="AE318" i="1"/>
  <c r="AF318" i="1"/>
  <c r="AG318" i="1"/>
  <c r="AH318" i="1"/>
  <c r="AI318" i="1"/>
  <c r="AD319" i="1"/>
  <c r="AE319" i="1"/>
  <c r="AF319" i="1"/>
  <c r="AG319" i="1"/>
  <c r="AH319" i="1"/>
  <c r="AI319" i="1"/>
  <c r="AD320" i="1"/>
  <c r="AE320" i="1"/>
  <c r="AF320" i="1"/>
  <c r="AG320" i="1"/>
  <c r="AH320" i="1"/>
  <c r="AI320" i="1"/>
  <c r="AD321" i="1"/>
  <c r="AE321" i="1"/>
  <c r="AF321" i="1"/>
  <c r="AG321" i="1"/>
  <c r="AH321" i="1"/>
  <c r="AI321" i="1"/>
  <c r="AD322" i="1"/>
  <c r="AE322" i="1"/>
  <c r="AF322" i="1"/>
  <c r="AG322" i="1"/>
  <c r="AH322" i="1"/>
  <c r="AI322" i="1"/>
  <c r="AD323" i="1"/>
  <c r="AE323" i="1"/>
  <c r="AF323" i="1"/>
  <c r="AG323" i="1"/>
  <c r="AH323" i="1"/>
  <c r="AI323" i="1"/>
  <c r="AD324" i="1"/>
  <c r="AE324" i="1"/>
  <c r="AF324" i="1"/>
  <c r="AG324" i="1"/>
  <c r="AH324" i="1"/>
  <c r="AI324" i="1"/>
  <c r="AD325" i="1"/>
  <c r="AE325" i="1"/>
  <c r="AF325" i="1"/>
  <c r="AG325" i="1"/>
  <c r="AH325" i="1"/>
  <c r="AI325" i="1"/>
  <c r="AD326" i="1"/>
  <c r="AE326" i="1"/>
  <c r="AF326" i="1"/>
  <c r="AG326" i="1"/>
  <c r="AH326" i="1"/>
  <c r="AI326" i="1"/>
  <c r="AD327" i="1"/>
  <c r="AE327" i="1"/>
  <c r="AF327" i="1"/>
  <c r="AG327" i="1"/>
  <c r="AH327" i="1"/>
  <c r="AI327" i="1"/>
  <c r="AD328" i="1"/>
  <c r="AE328" i="1"/>
  <c r="AF328" i="1"/>
  <c r="AG328" i="1"/>
  <c r="AH328" i="1"/>
  <c r="AI328" i="1"/>
  <c r="AD329" i="1"/>
  <c r="AE329" i="1"/>
  <c r="AF329" i="1"/>
  <c r="AG329" i="1"/>
  <c r="AH329" i="1"/>
  <c r="AI329" i="1"/>
  <c r="AD330" i="1"/>
  <c r="AE330" i="1"/>
  <c r="AF330" i="1"/>
  <c r="AG330" i="1"/>
  <c r="AH330" i="1"/>
  <c r="AI330" i="1"/>
  <c r="AD331" i="1"/>
  <c r="AE331" i="1"/>
  <c r="AF331" i="1"/>
  <c r="AG331" i="1"/>
  <c r="AH331" i="1"/>
  <c r="AI331" i="1"/>
  <c r="AD332" i="1"/>
  <c r="AE332" i="1"/>
  <c r="AF332" i="1"/>
  <c r="AG332" i="1"/>
  <c r="AH332" i="1"/>
  <c r="AI332" i="1"/>
  <c r="AD333" i="1"/>
  <c r="AE333" i="1"/>
  <c r="AF333" i="1"/>
  <c r="AG333" i="1"/>
  <c r="AH333" i="1"/>
  <c r="AI333" i="1"/>
  <c r="AD334" i="1"/>
  <c r="AE334" i="1"/>
  <c r="AF334" i="1"/>
  <c r="AG334" i="1"/>
  <c r="AH334" i="1"/>
  <c r="AI334" i="1"/>
  <c r="AD335" i="1"/>
  <c r="AE335" i="1"/>
  <c r="AF335" i="1"/>
  <c r="AG335" i="1"/>
  <c r="AH335" i="1"/>
  <c r="AI335" i="1"/>
  <c r="AD336" i="1"/>
  <c r="AE336" i="1"/>
  <c r="AF336" i="1"/>
  <c r="AG336" i="1"/>
  <c r="AH336" i="1"/>
  <c r="AI336" i="1"/>
  <c r="AD337" i="1"/>
  <c r="AE337" i="1"/>
  <c r="AF337" i="1"/>
  <c r="AG337" i="1"/>
  <c r="AH337" i="1"/>
  <c r="AI337" i="1"/>
  <c r="AD338" i="1"/>
  <c r="AE338" i="1"/>
  <c r="AF338" i="1"/>
  <c r="AG338" i="1"/>
  <c r="AH338" i="1"/>
  <c r="AI338" i="1"/>
  <c r="AD339" i="1"/>
  <c r="AE339" i="1"/>
  <c r="AF339" i="1"/>
  <c r="AG339" i="1"/>
  <c r="AH339" i="1"/>
  <c r="AI339" i="1"/>
  <c r="AD340" i="1"/>
  <c r="AE340" i="1"/>
  <c r="AF340" i="1"/>
  <c r="AG340" i="1"/>
  <c r="AH340" i="1"/>
  <c r="AI340" i="1"/>
  <c r="AD341" i="1"/>
  <c r="AE341" i="1"/>
  <c r="AF341" i="1"/>
  <c r="AG341" i="1"/>
  <c r="AH341" i="1"/>
  <c r="AI341" i="1"/>
  <c r="AD342" i="1"/>
  <c r="AE342" i="1"/>
  <c r="AF342" i="1"/>
  <c r="AG342" i="1"/>
  <c r="AH342" i="1"/>
  <c r="AI342" i="1"/>
  <c r="AD343" i="1"/>
  <c r="AE343" i="1"/>
  <c r="AF343" i="1"/>
  <c r="AG343" i="1"/>
  <c r="AH343" i="1"/>
  <c r="AI343" i="1"/>
  <c r="AD344" i="1"/>
  <c r="AE344" i="1"/>
  <c r="AF344" i="1"/>
  <c r="AG344" i="1"/>
  <c r="AH344" i="1"/>
  <c r="AI344" i="1"/>
  <c r="AD345" i="1"/>
  <c r="AE345" i="1"/>
  <c r="AF345" i="1"/>
  <c r="AG345" i="1"/>
  <c r="AH345" i="1"/>
  <c r="AI345" i="1"/>
  <c r="AD346" i="1"/>
  <c r="AE346" i="1"/>
  <c r="AF346" i="1"/>
  <c r="AG346" i="1"/>
  <c r="AH346" i="1"/>
  <c r="AI346" i="1"/>
  <c r="AD347" i="1"/>
  <c r="AE347" i="1"/>
  <c r="AF347" i="1"/>
  <c r="AG347" i="1"/>
  <c r="AH347" i="1"/>
  <c r="AI347" i="1"/>
  <c r="AD348" i="1"/>
  <c r="AE348" i="1"/>
  <c r="AF348" i="1"/>
  <c r="AG348" i="1"/>
  <c r="AH348" i="1"/>
  <c r="AI348" i="1"/>
  <c r="AD349" i="1"/>
  <c r="AE349" i="1"/>
  <c r="AF349" i="1"/>
  <c r="AG349" i="1"/>
  <c r="AH349" i="1"/>
  <c r="AI349" i="1"/>
  <c r="AD350" i="1"/>
  <c r="AE350" i="1"/>
  <c r="AF350" i="1"/>
  <c r="AG350" i="1"/>
  <c r="AH350" i="1"/>
  <c r="AI350" i="1"/>
  <c r="AD351" i="1"/>
  <c r="AE351" i="1"/>
  <c r="AF351" i="1"/>
  <c r="AG351" i="1"/>
  <c r="AH351" i="1"/>
  <c r="AI351" i="1"/>
  <c r="AD352" i="1"/>
  <c r="AE352" i="1"/>
  <c r="AF352" i="1"/>
  <c r="AG352" i="1"/>
  <c r="AH352" i="1"/>
  <c r="AI352" i="1"/>
  <c r="AD353" i="1"/>
  <c r="AE353" i="1"/>
  <c r="AF353" i="1"/>
  <c r="AG353" i="1"/>
  <c r="AH353" i="1"/>
  <c r="AI353" i="1"/>
  <c r="AD354" i="1"/>
  <c r="AE354" i="1"/>
  <c r="AF354" i="1"/>
  <c r="AG354" i="1"/>
  <c r="AH354" i="1"/>
  <c r="AI354" i="1"/>
  <c r="AD355" i="1"/>
  <c r="AE355" i="1"/>
  <c r="AF355" i="1"/>
  <c r="AG355" i="1"/>
  <c r="AH355" i="1"/>
  <c r="AI355" i="1"/>
  <c r="AD356" i="1"/>
  <c r="AE356" i="1"/>
  <c r="AF356" i="1"/>
  <c r="AG356" i="1"/>
  <c r="AH356" i="1"/>
  <c r="AI356" i="1"/>
  <c r="AD357" i="1"/>
  <c r="AE357" i="1"/>
  <c r="AF357" i="1"/>
  <c r="AG357" i="1"/>
  <c r="AH357" i="1"/>
  <c r="AI357" i="1"/>
  <c r="AD358" i="1"/>
  <c r="AE358" i="1"/>
  <c r="AF358" i="1"/>
  <c r="AG358" i="1"/>
  <c r="AH358" i="1"/>
  <c r="AI358" i="1"/>
  <c r="AD359" i="1"/>
  <c r="AE359" i="1"/>
  <c r="AF359" i="1"/>
  <c r="AG359" i="1"/>
  <c r="AH359" i="1"/>
  <c r="AI359" i="1"/>
  <c r="AD360" i="1"/>
  <c r="AE360" i="1"/>
  <c r="AF360" i="1"/>
  <c r="AG360" i="1"/>
  <c r="AH360" i="1"/>
  <c r="AI360" i="1"/>
  <c r="AD361" i="1"/>
  <c r="AE361" i="1"/>
  <c r="AF361" i="1"/>
  <c r="AG361" i="1"/>
  <c r="AH361" i="1"/>
  <c r="AI361" i="1"/>
  <c r="AD362" i="1"/>
  <c r="AE362" i="1"/>
  <c r="AF362" i="1"/>
  <c r="AG362" i="1"/>
  <c r="AH362" i="1"/>
  <c r="AI362" i="1"/>
  <c r="AD363" i="1"/>
  <c r="AE363" i="1"/>
  <c r="AF363" i="1"/>
  <c r="AG363" i="1"/>
  <c r="AH363" i="1"/>
  <c r="AI363" i="1"/>
  <c r="AD364" i="1"/>
  <c r="AE364" i="1"/>
  <c r="AF364" i="1"/>
  <c r="AG364" i="1"/>
  <c r="AH364" i="1"/>
  <c r="AI364" i="1"/>
  <c r="AD365" i="1"/>
  <c r="AE365" i="1"/>
  <c r="AF365" i="1"/>
  <c r="AG365" i="1"/>
  <c r="AH365" i="1"/>
  <c r="AI365" i="1"/>
  <c r="AD366" i="1"/>
  <c r="AE366" i="1"/>
  <c r="AF366" i="1"/>
  <c r="AG366" i="1"/>
  <c r="AH366" i="1"/>
  <c r="AI366" i="1"/>
  <c r="AD367" i="1"/>
  <c r="AE367" i="1"/>
  <c r="AF367" i="1"/>
  <c r="AG367" i="1"/>
  <c r="AH367" i="1"/>
  <c r="AI367" i="1"/>
  <c r="AD368" i="1"/>
  <c r="AE368" i="1"/>
  <c r="AF368" i="1"/>
  <c r="AG368" i="1"/>
  <c r="AH368" i="1"/>
  <c r="AI368" i="1"/>
  <c r="AD369" i="1"/>
  <c r="AE369" i="1"/>
  <c r="AF369" i="1"/>
  <c r="AG369" i="1"/>
  <c r="AH369" i="1"/>
  <c r="AI369" i="1"/>
  <c r="AD370" i="1"/>
  <c r="AE370" i="1"/>
  <c r="AF370" i="1"/>
  <c r="AG370" i="1"/>
  <c r="AH370" i="1"/>
  <c r="AI370" i="1"/>
  <c r="AD371" i="1"/>
  <c r="AE371" i="1"/>
  <c r="AF371" i="1"/>
  <c r="AG371" i="1"/>
  <c r="AH371" i="1"/>
  <c r="AI371" i="1"/>
  <c r="AD372" i="1"/>
  <c r="AE372" i="1"/>
  <c r="AF372" i="1"/>
  <c r="AG372" i="1"/>
  <c r="AH372" i="1"/>
  <c r="AI372" i="1"/>
  <c r="AD373" i="1"/>
  <c r="AE373" i="1"/>
  <c r="AF373" i="1"/>
  <c r="AG373" i="1"/>
  <c r="AH373" i="1"/>
  <c r="AI373" i="1"/>
  <c r="AD374" i="1"/>
  <c r="AE374" i="1"/>
  <c r="AF374" i="1"/>
  <c r="AG374" i="1"/>
  <c r="AH374" i="1"/>
  <c r="AI374" i="1"/>
  <c r="AD375" i="1"/>
  <c r="AE375" i="1"/>
  <c r="AF375" i="1"/>
  <c r="AG375" i="1"/>
  <c r="AH375" i="1"/>
  <c r="AI375" i="1"/>
  <c r="AD376" i="1"/>
  <c r="AE376" i="1"/>
  <c r="AF376" i="1"/>
  <c r="AG376" i="1"/>
  <c r="AH376" i="1"/>
  <c r="AI376" i="1"/>
  <c r="AD377" i="1"/>
  <c r="AE377" i="1"/>
  <c r="AF377" i="1"/>
  <c r="AG377" i="1"/>
  <c r="AH377" i="1"/>
  <c r="AI377" i="1"/>
  <c r="AD378" i="1"/>
  <c r="AE378" i="1"/>
  <c r="AF378" i="1"/>
  <c r="AG378" i="1"/>
  <c r="AH378" i="1"/>
  <c r="AI378" i="1"/>
  <c r="AD379" i="1"/>
  <c r="AE379" i="1"/>
  <c r="AF379" i="1"/>
  <c r="AG379" i="1"/>
  <c r="AH379" i="1"/>
  <c r="AI379" i="1"/>
  <c r="AD380" i="1"/>
  <c r="AE380" i="1"/>
  <c r="AF380" i="1"/>
  <c r="AG380" i="1"/>
  <c r="AH380" i="1"/>
  <c r="AI380" i="1"/>
  <c r="AD381" i="1"/>
  <c r="AE381" i="1"/>
  <c r="AF381" i="1"/>
  <c r="AG381" i="1"/>
  <c r="AH381" i="1"/>
  <c r="AI381" i="1"/>
  <c r="AD382" i="1"/>
  <c r="AE382" i="1"/>
  <c r="AF382" i="1"/>
  <c r="AG382" i="1"/>
  <c r="AH382" i="1"/>
  <c r="AI382" i="1"/>
  <c r="AD383" i="1"/>
  <c r="AE383" i="1"/>
  <c r="AF383" i="1"/>
  <c r="AG383" i="1"/>
  <c r="AH383" i="1"/>
  <c r="AI383" i="1"/>
  <c r="AD384" i="1"/>
  <c r="AE384" i="1"/>
  <c r="AF384" i="1"/>
  <c r="AG384" i="1"/>
  <c r="AH384" i="1"/>
  <c r="AI384" i="1"/>
  <c r="AD385" i="1"/>
  <c r="AE385" i="1"/>
  <c r="AF385" i="1"/>
  <c r="AG385" i="1"/>
  <c r="AH385" i="1"/>
  <c r="AI385" i="1"/>
  <c r="AD386" i="1"/>
  <c r="AE386" i="1"/>
  <c r="AF386" i="1"/>
  <c r="AG386" i="1"/>
  <c r="AH386" i="1"/>
  <c r="AI386" i="1"/>
  <c r="AD387" i="1"/>
  <c r="AE387" i="1"/>
  <c r="AF387" i="1"/>
  <c r="AG387" i="1"/>
  <c r="AH387" i="1"/>
  <c r="AI387" i="1"/>
  <c r="AD388" i="1"/>
  <c r="AE388" i="1"/>
  <c r="AF388" i="1"/>
  <c r="AG388" i="1"/>
  <c r="AH388" i="1"/>
  <c r="AI388" i="1"/>
  <c r="AD389" i="1"/>
  <c r="AE389" i="1"/>
  <c r="AF389" i="1"/>
  <c r="AG389" i="1"/>
  <c r="AH389" i="1"/>
  <c r="AI389" i="1"/>
  <c r="AD390" i="1"/>
  <c r="AE390" i="1"/>
  <c r="AF390" i="1"/>
  <c r="AG390" i="1"/>
  <c r="AH390" i="1"/>
  <c r="AI390" i="1"/>
  <c r="AD391" i="1"/>
  <c r="AE391" i="1"/>
  <c r="AF391" i="1"/>
  <c r="AG391" i="1"/>
  <c r="AH391" i="1"/>
  <c r="AI391" i="1"/>
  <c r="AD392" i="1"/>
  <c r="AE392" i="1"/>
  <c r="AF392" i="1"/>
  <c r="AG392" i="1"/>
  <c r="AH392" i="1"/>
  <c r="AI392" i="1"/>
  <c r="AD393" i="1"/>
  <c r="AE393" i="1"/>
  <c r="AF393" i="1"/>
  <c r="AG393" i="1"/>
  <c r="AH393" i="1"/>
  <c r="AI393" i="1"/>
  <c r="AD394" i="1"/>
  <c r="AE394" i="1"/>
  <c r="AF394" i="1"/>
  <c r="AG394" i="1"/>
  <c r="AH394" i="1"/>
  <c r="AI394" i="1"/>
  <c r="AD395" i="1"/>
  <c r="AE395" i="1"/>
  <c r="AF395" i="1"/>
  <c r="AG395" i="1"/>
  <c r="AH395" i="1"/>
  <c r="AI395" i="1"/>
  <c r="AD396" i="1"/>
  <c r="AE396" i="1"/>
  <c r="AF396" i="1"/>
  <c r="AG396" i="1"/>
  <c r="AH396" i="1"/>
  <c r="AI396" i="1"/>
  <c r="AD397" i="1"/>
  <c r="AE397" i="1"/>
  <c r="AF397" i="1"/>
  <c r="AG397" i="1"/>
  <c r="AH397" i="1"/>
  <c r="AI397" i="1"/>
  <c r="AD398" i="1"/>
  <c r="AE398" i="1"/>
  <c r="AF398" i="1"/>
  <c r="AG398" i="1"/>
  <c r="AH398" i="1"/>
  <c r="AI398" i="1"/>
  <c r="AD399" i="1"/>
  <c r="AE399" i="1"/>
  <c r="AF399" i="1"/>
  <c r="AG399" i="1"/>
  <c r="AH399" i="1"/>
  <c r="AI399" i="1"/>
  <c r="AD400" i="1"/>
  <c r="AE400" i="1"/>
  <c r="AF400" i="1"/>
  <c r="AG400" i="1"/>
  <c r="AH400" i="1"/>
  <c r="AI400" i="1"/>
  <c r="AD401" i="1"/>
  <c r="AE401" i="1"/>
  <c r="AF401" i="1"/>
  <c r="AG401" i="1"/>
  <c r="AH401" i="1"/>
  <c r="AI401" i="1"/>
  <c r="AD402" i="1"/>
  <c r="AE402" i="1"/>
  <c r="AF402" i="1"/>
  <c r="AG402" i="1"/>
  <c r="AH402" i="1"/>
  <c r="AI402" i="1"/>
  <c r="AD403" i="1"/>
  <c r="AE403" i="1"/>
  <c r="AF403" i="1"/>
  <c r="AG403" i="1"/>
  <c r="AH403" i="1"/>
  <c r="AI403" i="1"/>
  <c r="AD404" i="1"/>
  <c r="AE404" i="1"/>
  <c r="AF404" i="1"/>
  <c r="AG404" i="1"/>
  <c r="AH404" i="1"/>
  <c r="AD405" i="1"/>
  <c r="AE405" i="1"/>
  <c r="AF405" i="1"/>
  <c r="AG405" i="1"/>
  <c r="AH405" i="1"/>
  <c r="AI405" i="1"/>
  <c r="AD406" i="1"/>
  <c r="AE406" i="1"/>
  <c r="AF406" i="1"/>
  <c r="AG406" i="1"/>
  <c r="AH406" i="1"/>
  <c r="AI406" i="1"/>
  <c r="AD407" i="1"/>
  <c r="AE407" i="1"/>
  <c r="AF407" i="1"/>
  <c r="AG407" i="1"/>
  <c r="AH407" i="1"/>
  <c r="AD408" i="1"/>
  <c r="AE408" i="1"/>
  <c r="AF408" i="1"/>
  <c r="AG408" i="1"/>
  <c r="AH408" i="1"/>
  <c r="AI408" i="1"/>
  <c r="AD409" i="1"/>
  <c r="AE409" i="1"/>
  <c r="AF409" i="1"/>
  <c r="AG409" i="1"/>
  <c r="AH409" i="1"/>
  <c r="AI409" i="1"/>
  <c r="AD410" i="1"/>
  <c r="AE410" i="1"/>
  <c r="AF410" i="1"/>
  <c r="AG410" i="1"/>
  <c r="AH410" i="1"/>
  <c r="AI410" i="1"/>
  <c r="AD411" i="1"/>
  <c r="AE411" i="1"/>
  <c r="AF411" i="1"/>
  <c r="AG411" i="1"/>
  <c r="AH411" i="1"/>
  <c r="AI411" i="1"/>
  <c r="AD412" i="1"/>
  <c r="AE412" i="1"/>
  <c r="AF412" i="1"/>
  <c r="AG412" i="1"/>
  <c r="AH412" i="1"/>
  <c r="AI412" i="1"/>
  <c r="AD413" i="1"/>
  <c r="AE413" i="1"/>
  <c r="AF413" i="1"/>
  <c r="AG413" i="1"/>
  <c r="AH413" i="1"/>
  <c r="AI413" i="1"/>
  <c r="AD414" i="1"/>
  <c r="AE414" i="1"/>
  <c r="AF414" i="1"/>
  <c r="AG414" i="1"/>
  <c r="AH414" i="1"/>
  <c r="AI414" i="1"/>
  <c r="AD415" i="1"/>
  <c r="AE415" i="1"/>
  <c r="AF415" i="1"/>
  <c r="AG415" i="1"/>
  <c r="AH415" i="1"/>
  <c r="AI415" i="1"/>
  <c r="AD416" i="1"/>
  <c r="AE416" i="1"/>
  <c r="AF416" i="1"/>
  <c r="AG416" i="1"/>
  <c r="AH416" i="1"/>
  <c r="AI416" i="1"/>
  <c r="AD417" i="1"/>
  <c r="AE417" i="1"/>
  <c r="AF417" i="1"/>
  <c r="AG417" i="1"/>
  <c r="AH417" i="1"/>
  <c r="AI417" i="1"/>
  <c r="AD418" i="1"/>
  <c r="AE418" i="1"/>
  <c r="AF418" i="1"/>
  <c r="AG418" i="1"/>
  <c r="AH418" i="1"/>
  <c r="AI418" i="1"/>
  <c r="AD419" i="1"/>
  <c r="AE419" i="1"/>
  <c r="AF419" i="1"/>
  <c r="AG419" i="1"/>
  <c r="AH419" i="1"/>
  <c r="AI419" i="1"/>
  <c r="AD420" i="1"/>
  <c r="AE420" i="1"/>
  <c r="AF420" i="1"/>
  <c r="AG420" i="1"/>
  <c r="AH420" i="1"/>
  <c r="AI420" i="1"/>
  <c r="AD421" i="1"/>
  <c r="AE421" i="1"/>
  <c r="AF421" i="1"/>
  <c r="AG421" i="1"/>
  <c r="AH421" i="1"/>
  <c r="AI421" i="1"/>
  <c r="AD422" i="1"/>
  <c r="AE422" i="1"/>
  <c r="AF422" i="1"/>
  <c r="AG422" i="1"/>
  <c r="AH422" i="1"/>
  <c r="AI422" i="1"/>
  <c r="AD423" i="1"/>
  <c r="AE423" i="1"/>
  <c r="AF423" i="1"/>
  <c r="AG423" i="1"/>
  <c r="AH423" i="1"/>
  <c r="AI423" i="1"/>
  <c r="AD424" i="1"/>
  <c r="AE424" i="1"/>
  <c r="AF424" i="1"/>
  <c r="AG424" i="1"/>
  <c r="AH424" i="1"/>
  <c r="AI424" i="1"/>
  <c r="AD425" i="1"/>
  <c r="AE425" i="1"/>
  <c r="AF425" i="1"/>
  <c r="AG425" i="1"/>
  <c r="AH425" i="1"/>
  <c r="AI425" i="1"/>
  <c r="AD426" i="1"/>
  <c r="AE426" i="1"/>
  <c r="AF426" i="1"/>
  <c r="AG426" i="1"/>
  <c r="AH426" i="1"/>
  <c r="AI426" i="1"/>
  <c r="AD427" i="1"/>
  <c r="AE427" i="1"/>
  <c r="AF427" i="1"/>
  <c r="AG427" i="1"/>
  <c r="AH427" i="1"/>
  <c r="AI427" i="1"/>
  <c r="AD428" i="1"/>
  <c r="AE428" i="1"/>
  <c r="AF428" i="1"/>
  <c r="AG428" i="1"/>
  <c r="AH428" i="1"/>
  <c r="AI428" i="1"/>
  <c r="AD429" i="1"/>
  <c r="AE429" i="1"/>
  <c r="AF429" i="1"/>
  <c r="AG429" i="1"/>
  <c r="AH429" i="1"/>
  <c r="AI429" i="1"/>
  <c r="AD430" i="1"/>
  <c r="AE430" i="1"/>
  <c r="AF430" i="1"/>
  <c r="AG430" i="1"/>
  <c r="AH430" i="1"/>
  <c r="AI430" i="1"/>
  <c r="AD431" i="1"/>
  <c r="AE431" i="1"/>
  <c r="AF431" i="1"/>
  <c r="AG431" i="1"/>
  <c r="AH431" i="1"/>
  <c r="AI431" i="1"/>
  <c r="AD432" i="1"/>
  <c r="AE432" i="1"/>
  <c r="AF432" i="1"/>
  <c r="AG432" i="1"/>
  <c r="AH432" i="1"/>
  <c r="AI432" i="1"/>
  <c r="AD433" i="1"/>
  <c r="AE433" i="1"/>
  <c r="AF433" i="1"/>
  <c r="AG433" i="1"/>
  <c r="AH433" i="1"/>
  <c r="AI433" i="1"/>
  <c r="AD434" i="1"/>
  <c r="AE434" i="1"/>
  <c r="AF434" i="1"/>
  <c r="AG434" i="1"/>
  <c r="AH434" i="1"/>
  <c r="AI434" i="1"/>
  <c r="AD435" i="1"/>
  <c r="AE435" i="1"/>
  <c r="AF435" i="1"/>
  <c r="AG435" i="1"/>
  <c r="AH435" i="1"/>
  <c r="AI435" i="1"/>
  <c r="AD436" i="1"/>
  <c r="AE436" i="1"/>
  <c r="AF436" i="1"/>
  <c r="AG436" i="1"/>
  <c r="AH436" i="1"/>
  <c r="AI436" i="1"/>
  <c r="AD437" i="1"/>
  <c r="AE437" i="1"/>
  <c r="AF437" i="1"/>
  <c r="AG437" i="1"/>
  <c r="AH437" i="1"/>
  <c r="AI437" i="1"/>
  <c r="AD438" i="1"/>
  <c r="AE438" i="1"/>
  <c r="AF438" i="1"/>
  <c r="AG438" i="1"/>
  <c r="AH438" i="1"/>
  <c r="AI438" i="1"/>
  <c r="AD439" i="1"/>
  <c r="AE439" i="1"/>
  <c r="AF439" i="1"/>
  <c r="AG439" i="1"/>
  <c r="AH439" i="1"/>
  <c r="AI439" i="1"/>
  <c r="AD440" i="1"/>
  <c r="AE440" i="1"/>
  <c r="AF440" i="1"/>
  <c r="AG440" i="1"/>
  <c r="AH440" i="1"/>
  <c r="AI440" i="1"/>
  <c r="AD441" i="1"/>
  <c r="AE441" i="1"/>
  <c r="AF441" i="1"/>
  <c r="AG441" i="1"/>
  <c r="AH441" i="1"/>
  <c r="AI441" i="1"/>
  <c r="AD442" i="1"/>
  <c r="AE442" i="1"/>
  <c r="AF442" i="1"/>
  <c r="AG442" i="1"/>
  <c r="AH442" i="1"/>
  <c r="AI442" i="1"/>
  <c r="AD443" i="1"/>
  <c r="AE443" i="1"/>
  <c r="AF443" i="1"/>
  <c r="AG443" i="1"/>
  <c r="AH443" i="1"/>
  <c r="AI443" i="1"/>
  <c r="AD444" i="1"/>
  <c r="AE444" i="1"/>
  <c r="AF444" i="1"/>
  <c r="AG444" i="1"/>
  <c r="AH444" i="1"/>
  <c r="AI444" i="1"/>
  <c r="AD445" i="1"/>
  <c r="AE445" i="1"/>
  <c r="AF445" i="1"/>
  <c r="AG445" i="1"/>
  <c r="AH445" i="1"/>
  <c r="AI445" i="1"/>
  <c r="AD446" i="1"/>
  <c r="AE446" i="1"/>
  <c r="AF446" i="1"/>
  <c r="AG446" i="1"/>
  <c r="AH446" i="1"/>
  <c r="AI446" i="1"/>
  <c r="AD447" i="1"/>
  <c r="AE447" i="1"/>
  <c r="AF447" i="1"/>
  <c r="AG447" i="1"/>
  <c r="AH447" i="1"/>
  <c r="AI447" i="1"/>
  <c r="AD448" i="1"/>
  <c r="AE448" i="1"/>
  <c r="AF448" i="1"/>
  <c r="AG448" i="1"/>
  <c r="AH448" i="1"/>
  <c r="AI448" i="1"/>
  <c r="AD449" i="1"/>
  <c r="AE449" i="1"/>
  <c r="AF449" i="1"/>
  <c r="AG449" i="1"/>
  <c r="AH449" i="1"/>
  <c r="AI449" i="1"/>
  <c r="AD450" i="1"/>
  <c r="AE450" i="1"/>
  <c r="AF450" i="1"/>
  <c r="AG450" i="1"/>
  <c r="AH450" i="1"/>
  <c r="AI450" i="1"/>
  <c r="AD451" i="1"/>
  <c r="AE451" i="1"/>
  <c r="AF451" i="1"/>
  <c r="AG451" i="1"/>
  <c r="AH451" i="1"/>
  <c r="AI451" i="1"/>
  <c r="AD452" i="1"/>
  <c r="AE452" i="1"/>
  <c r="AF452" i="1"/>
  <c r="AG452" i="1"/>
  <c r="AH452" i="1"/>
  <c r="AI452" i="1"/>
  <c r="AD453" i="1"/>
  <c r="AE453" i="1"/>
  <c r="AF453" i="1"/>
  <c r="AG453" i="1"/>
  <c r="AH453" i="1"/>
  <c r="AI453" i="1"/>
  <c r="AD454" i="1"/>
  <c r="AE454" i="1"/>
  <c r="AF454" i="1"/>
  <c r="AG454" i="1"/>
  <c r="AH454" i="1"/>
  <c r="AI454" i="1"/>
  <c r="AD455" i="1"/>
  <c r="AE455" i="1"/>
  <c r="AF455" i="1"/>
  <c r="AG455" i="1"/>
  <c r="AH455" i="1"/>
  <c r="AI455" i="1"/>
  <c r="AD456" i="1"/>
  <c r="AE456" i="1"/>
  <c r="AF456" i="1"/>
  <c r="AG456" i="1"/>
  <c r="AH456" i="1"/>
  <c r="AI456" i="1"/>
  <c r="AD457" i="1"/>
  <c r="AE457" i="1"/>
  <c r="AF457" i="1"/>
  <c r="AG457" i="1"/>
  <c r="AH457" i="1"/>
  <c r="AI457" i="1"/>
  <c r="AD458" i="1"/>
  <c r="AE458" i="1"/>
  <c r="AF458" i="1"/>
  <c r="AG458" i="1"/>
  <c r="AH458" i="1"/>
  <c r="AI458" i="1"/>
  <c r="AD459" i="1"/>
  <c r="AE459" i="1"/>
  <c r="AF459" i="1"/>
  <c r="AG459" i="1"/>
  <c r="AH459" i="1"/>
  <c r="AI459" i="1"/>
  <c r="AD460" i="1"/>
  <c r="AE460" i="1"/>
  <c r="AF460" i="1"/>
  <c r="AG460" i="1"/>
  <c r="AH460" i="1"/>
  <c r="AI460" i="1"/>
  <c r="AD461" i="1"/>
  <c r="AE461" i="1"/>
  <c r="AF461" i="1"/>
  <c r="AG461" i="1"/>
  <c r="AH461" i="1"/>
  <c r="AI461" i="1"/>
  <c r="AD462" i="1"/>
  <c r="AE462" i="1"/>
  <c r="AF462" i="1"/>
  <c r="AG462" i="1"/>
  <c r="AH462" i="1"/>
  <c r="AI462" i="1"/>
  <c r="AD463" i="1"/>
  <c r="AE463" i="1"/>
  <c r="AF463" i="1"/>
  <c r="AG463" i="1"/>
  <c r="AH463" i="1"/>
  <c r="AI463" i="1"/>
  <c r="AD464" i="1"/>
  <c r="AE464" i="1"/>
  <c r="AF464" i="1"/>
  <c r="AG464" i="1"/>
  <c r="AH464" i="1"/>
  <c r="AI464" i="1"/>
  <c r="AD465" i="1"/>
  <c r="AE465" i="1"/>
  <c r="AF465" i="1"/>
  <c r="AG465" i="1"/>
  <c r="AH465" i="1"/>
  <c r="AI465" i="1"/>
  <c r="AD466" i="1"/>
  <c r="AE466" i="1"/>
  <c r="AF466" i="1"/>
  <c r="AG466" i="1"/>
  <c r="AH466" i="1"/>
  <c r="AI466" i="1"/>
  <c r="AD467" i="1"/>
  <c r="AE467" i="1"/>
  <c r="AF467" i="1"/>
  <c r="AG467" i="1"/>
  <c r="AH467" i="1"/>
  <c r="AI467" i="1"/>
  <c r="AD468" i="1"/>
  <c r="AE468" i="1"/>
  <c r="AF468" i="1"/>
  <c r="AG468" i="1"/>
  <c r="AH468" i="1"/>
  <c r="AI468" i="1"/>
  <c r="AD469" i="1"/>
  <c r="AE469" i="1"/>
  <c r="AF469" i="1"/>
  <c r="AG469" i="1"/>
  <c r="AH469" i="1"/>
  <c r="AI469" i="1"/>
  <c r="AD470" i="1"/>
  <c r="AE470" i="1"/>
  <c r="AF470" i="1"/>
  <c r="AG470" i="1"/>
  <c r="AH470" i="1"/>
  <c r="AI470" i="1"/>
  <c r="AD471" i="1"/>
  <c r="AE471" i="1"/>
  <c r="AF471" i="1"/>
  <c r="AG471" i="1"/>
  <c r="AH471" i="1"/>
  <c r="AI471" i="1"/>
  <c r="AD472" i="1"/>
  <c r="AE472" i="1"/>
  <c r="AF472" i="1"/>
  <c r="AG472" i="1"/>
  <c r="AH472" i="1"/>
  <c r="AI472" i="1"/>
  <c r="AD473" i="1"/>
  <c r="AE473" i="1"/>
  <c r="AF473" i="1"/>
  <c r="AG473" i="1"/>
  <c r="AH473" i="1"/>
  <c r="AI473" i="1"/>
  <c r="AD474" i="1"/>
  <c r="AE474" i="1"/>
  <c r="AF474" i="1"/>
  <c r="AG474" i="1"/>
  <c r="AH474" i="1"/>
  <c r="AI474" i="1"/>
  <c r="AD475" i="1"/>
  <c r="AE475" i="1"/>
  <c r="AF475" i="1"/>
  <c r="AG475" i="1"/>
  <c r="AH475" i="1"/>
  <c r="AI475" i="1"/>
  <c r="AD476" i="1"/>
  <c r="AE476" i="1"/>
  <c r="AF476" i="1"/>
  <c r="AG476" i="1"/>
  <c r="AH476" i="1"/>
  <c r="AI476" i="1"/>
  <c r="AD477" i="1"/>
  <c r="AE477" i="1"/>
  <c r="AF477" i="1"/>
  <c r="AG477" i="1"/>
  <c r="AH477" i="1"/>
  <c r="AI477" i="1"/>
  <c r="AD478" i="1"/>
  <c r="AE478" i="1"/>
  <c r="AF478" i="1"/>
  <c r="AG478" i="1"/>
  <c r="AH478" i="1"/>
  <c r="AI478" i="1"/>
  <c r="AD479" i="1"/>
  <c r="AE479" i="1"/>
  <c r="AF479" i="1"/>
  <c r="AG479" i="1"/>
  <c r="AH479" i="1"/>
  <c r="AI479" i="1"/>
  <c r="AD480" i="1"/>
  <c r="AE480" i="1"/>
  <c r="AF480" i="1"/>
  <c r="AG480" i="1"/>
  <c r="AH480" i="1"/>
  <c r="AI480" i="1"/>
  <c r="AD481" i="1"/>
  <c r="AE481" i="1"/>
  <c r="AF481" i="1"/>
  <c r="AG481" i="1"/>
  <c r="AH481" i="1"/>
  <c r="AI481" i="1"/>
  <c r="AD482" i="1"/>
  <c r="AE482" i="1"/>
  <c r="AF482" i="1"/>
  <c r="AG482" i="1"/>
  <c r="AH482" i="1"/>
  <c r="AD483" i="1"/>
  <c r="AE483" i="1"/>
  <c r="AF483" i="1"/>
  <c r="AG483" i="1"/>
  <c r="AH483" i="1"/>
  <c r="AI483" i="1"/>
  <c r="AD484" i="1"/>
  <c r="AE484" i="1"/>
  <c r="AF484" i="1"/>
  <c r="AG484" i="1"/>
  <c r="AH484" i="1"/>
  <c r="AI484" i="1"/>
  <c r="AD485" i="1"/>
  <c r="AE485" i="1"/>
  <c r="AF485" i="1"/>
  <c r="AG485" i="1"/>
  <c r="AH485" i="1"/>
  <c r="AI485" i="1"/>
  <c r="AD486" i="1"/>
  <c r="AE486" i="1"/>
  <c r="AF486" i="1"/>
  <c r="AG486" i="1"/>
  <c r="AH486" i="1"/>
  <c r="AI486" i="1"/>
  <c r="AD487" i="1"/>
  <c r="AE487" i="1"/>
  <c r="AF487" i="1"/>
  <c r="AG487" i="1"/>
  <c r="AH487" i="1"/>
  <c r="AI487" i="1"/>
  <c r="AD488" i="1"/>
  <c r="AE488" i="1"/>
  <c r="AF488" i="1"/>
  <c r="AG488" i="1"/>
  <c r="AH488" i="1"/>
  <c r="AI488" i="1"/>
  <c r="AD489" i="1"/>
  <c r="AE489" i="1"/>
  <c r="AF489" i="1"/>
  <c r="AG489" i="1"/>
  <c r="AH489" i="1"/>
  <c r="AI489" i="1"/>
  <c r="AD490" i="1"/>
  <c r="AE490" i="1"/>
  <c r="AF490" i="1"/>
  <c r="AG490" i="1"/>
  <c r="AH490" i="1"/>
  <c r="AI490" i="1"/>
  <c r="AD491" i="1"/>
  <c r="AE491" i="1"/>
  <c r="AF491" i="1"/>
  <c r="AG491" i="1"/>
  <c r="AH491" i="1"/>
  <c r="AI491" i="1"/>
  <c r="AD492" i="1"/>
  <c r="AE492" i="1"/>
  <c r="AF492" i="1"/>
  <c r="AG492" i="1"/>
  <c r="AH492" i="1"/>
  <c r="AI492" i="1"/>
  <c r="AD493" i="1"/>
  <c r="AE493" i="1"/>
  <c r="AF493" i="1"/>
  <c r="AG493" i="1"/>
  <c r="AH493" i="1"/>
  <c r="AI493" i="1"/>
  <c r="AD494" i="1"/>
  <c r="AE494" i="1"/>
  <c r="AF494" i="1"/>
  <c r="AG494" i="1"/>
  <c r="AH494" i="1"/>
  <c r="AI494" i="1"/>
  <c r="AD495" i="1"/>
  <c r="AE495" i="1"/>
  <c r="AF495" i="1"/>
  <c r="AG495" i="1"/>
  <c r="AH495" i="1"/>
  <c r="AI495" i="1"/>
  <c r="AD496" i="1"/>
  <c r="AE496" i="1"/>
  <c r="AF496" i="1"/>
  <c r="AG496" i="1"/>
  <c r="AH496" i="1"/>
  <c r="AI496" i="1"/>
  <c r="AD497" i="1"/>
  <c r="AE497" i="1"/>
  <c r="AF497" i="1"/>
  <c r="AG497" i="1"/>
  <c r="AH497" i="1"/>
  <c r="AI497" i="1"/>
  <c r="AD498" i="1"/>
  <c r="AE498" i="1"/>
  <c r="AF498" i="1"/>
  <c r="AG498" i="1"/>
  <c r="AH498" i="1"/>
  <c r="AI498" i="1"/>
  <c r="AD499" i="1"/>
  <c r="AE499" i="1"/>
  <c r="AF499" i="1"/>
  <c r="AG499" i="1"/>
  <c r="AH499" i="1"/>
  <c r="AI499" i="1"/>
  <c r="AD500" i="1"/>
  <c r="AE500" i="1"/>
  <c r="AF500" i="1"/>
  <c r="AG500" i="1"/>
  <c r="AH500" i="1"/>
  <c r="AI500" i="1"/>
  <c r="AD501" i="1"/>
  <c r="AE501" i="1"/>
  <c r="AF501" i="1"/>
  <c r="AG501" i="1"/>
  <c r="AH501" i="1"/>
  <c r="AI501" i="1"/>
  <c r="AD502" i="1"/>
  <c r="AE502" i="1"/>
  <c r="AF502" i="1"/>
  <c r="AG502" i="1"/>
  <c r="AH502" i="1"/>
  <c r="AI502" i="1"/>
  <c r="AD503" i="1"/>
  <c r="AE503" i="1"/>
  <c r="AF503" i="1"/>
  <c r="AG503" i="1"/>
  <c r="AH503" i="1"/>
  <c r="AI503" i="1"/>
  <c r="AD504" i="1"/>
  <c r="AE504" i="1"/>
  <c r="AF504" i="1"/>
  <c r="AG504" i="1"/>
  <c r="AH504" i="1"/>
  <c r="AI504" i="1"/>
  <c r="AD505" i="1"/>
  <c r="AE505" i="1"/>
  <c r="AF505" i="1"/>
  <c r="AG505" i="1"/>
  <c r="AH505" i="1"/>
  <c r="AI505" i="1"/>
  <c r="AD506" i="1"/>
  <c r="AE506" i="1"/>
  <c r="AF506" i="1"/>
  <c r="AG506" i="1"/>
  <c r="AH506" i="1"/>
  <c r="AI506" i="1"/>
  <c r="AD507" i="1"/>
  <c r="AE507" i="1"/>
  <c r="AF507" i="1"/>
  <c r="AG507" i="1"/>
  <c r="AH507" i="1"/>
  <c r="AI507" i="1"/>
  <c r="AD508" i="1"/>
  <c r="AE508" i="1"/>
  <c r="AF508" i="1"/>
  <c r="AG508" i="1"/>
  <c r="AH508" i="1"/>
  <c r="AI508" i="1"/>
  <c r="AD509" i="1"/>
  <c r="AE509" i="1"/>
  <c r="AF509" i="1"/>
  <c r="AG509" i="1"/>
  <c r="AH509" i="1"/>
  <c r="AI509" i="1"/>
  <c r="AD510" i="1"/>
  <c r="AE510" i="1"/>
  <c r="AF510" i="1"/>
  <c r="AG510" i="1"/>
  <c r="AH510" i="1"/>
  <c r="AI510" i="1"/>
  <c r="AD511" i="1"/>
  <c r="AE511" i="1"/>
  <c r="AF511" i="1"/>
  <c r="AG511" i="1"/>
  <c r="AH511" i="1"/>
  <c r="AI511" i="1"/>
  <c r="AD512" i="1"/>
  <c r="AE512" i="1"/>
  <c r="AF512" i="1"/>
  <c r="AG512" i="1"/>
  <c r="AH512" i="1"/>
  <c r="AI512" i="1"/>
  <c r="AD513" i="1"/>
  <c r="AE513" i="1"/>
  <c r="AF513" i="1"/>
  <c r="AG513" i="1"/>
  <c r="AH513" i="1"/>
  <c r="AI513" i="1"/>
  <c r="AD514" i="1"/>
  <c r="AE514" i="1"/>
  <c r="AF514" i="1"/>
  <c r="AG514" i="1"/>
  <c r="AH514" i="1"/>
  <c r="AI514" i="1"/>
  <c r="AD515" i="1"/>
  <c r="AE515" i="1"/>
  <c r="AF515" i="1"/>
  <c r="AG515" i="1"/>
  <c r="AH515" i="1"/>
  <c r="AI515" i="1"/>
  <c r="AD516" i="1"/>
  <c r="AE516" i="1"/>
  <c r="AF516" i="1"/>
  <c r="AG516" i="1"/>
  <c r="AH516" i="1"/>
  <c r="AI516" i="1"/>
  <c r="AD517" i="1"/>
  <c r="AE517" i="1"/>
  <c r="AF517" i="1"/>
  <c r="AG517" i="1"/>
  <c r="AH517" i="1"/>
  <c r="AI517" i="1"/>
  <c r="AD518" i="1"/>
  <c r="AE518" i="1"/>
  <c r="AF518" i="1"/>
  <c r="AG518" i="1"/>
  <c r="AH518" i="1"/>
  <c r="AI518" i="1"/>
  <c r="AD519" i="1"/>
  <c r="AE519" i="1"/>
  <c r="AF519" i="1"/>
  <c r="AG519" i="1"/>
  <c r="AH519" i="1"/>
  <c r="AI519" i="1"/>
  <c r="AD520" i="1"/>
  <c r="AE520" i="1"/>
  <c r="AF520" i="1"/>
  <c r="AG520" i="1"/>
  <c r="AH520" i="1"/>
  <c r="AI520" i="1"/>
  <c r="AD521" i="1"/>
  <c r="AE521" i="1"/>
  <c r="AF521" i="1"/>
  <c r="AG521" i="1"/>
  <c r="AH521" i="1"/>
  <c r="AI521" i="1"/>
  <c r="AD522" i="1"/>
  <c r="AE522" i="1"/>
  <c r="AF522" i="1"/>
  <c r="AG522" i="1"/>
  <c r="AH522" i="1"/>
  <c r="AI522" i="1"/>
  <c r="AD523" i="1"/>
  <c r="AE523" i="1"/>
  <c r="AF523" i="1"/>
  <c r="AG523" i="1"/>
  <c r="AH523" i="1"/>
  <c r="AI523" i="1"/>
  <c r="AD524" i="1"/>
  <c r="AE524" i="1"/>
  <c r="AF524" i="1"/>
  <c r="AG524" i="1"/>
  <c r="AH524" i="1"/>
  <c r="AI524" i="1"/>
  <c r="AD525" i="1"/>
  <c r="AE525" i="1"/>
  <c r="AF525" i="1"/>
  <c r="AG525" i="1"/>
  <c r="AH525" i="1"/>
  <c r="AI525" i="1"/>
  <c r="AD526" i="1"/>
  <c r="AE526" i="1"/>
  <c r="AF526" i="1"/>
  <c r="AG526" i="1"/>
  <c r="AH526" i="1"/>
  <c r="AI526" i="1"/>
  <c r="AD527" i="1"/>
  <c r="AE527" i="1"/>
  <c r="AF527" i="1"/>
  <c r="AG527" i="1"/>
  <c r="AH527" i="1"/>
  <c r="AI527" i="1"/>
  <c r="AD528" i="1"/>
  <c r="AE528" i="1"/>
  <c r="AF528" i="1"/>
  <c r="AG528" i="1"/>
  <c r="AH528" i="1"/>
  <c r="AI528" i="1"/>
  <c r="AD529" i="1"/>
  <c r="AE529" i="1"/>
  <c r="AF529" i="1"/>
  <c r="AG529" i="1"/>
  <c r="AH529" i="1"/>
  <c r="AI529" i="1"/>
  <c r="AD530" i="1"/>
  <c r="AE530" i="1"/>
  <c r="AF530" i="1"/>
  <c r="AG530" i="1"/>
  <c r="AH530" i="1"/>
  <c r="AI530" i="1"/>
  <c r="AD531" i="1"/>
  <c r="AE531" i="1"/>
  <c r="AF531" i="1"/>
  <c r="AG531" i="1"/>
  <c r="AH531" i="1"/>
  <c r="AI531" i="1"/>
  <c r="AD532" i="1"/>
  <c r="AE532" i="1"/>
  <c r="AF532" i="1"/>
  <c r="AG532" i="1"/>
  <c r="AH532" i="1"/>
  <c r="AI532" i="1"/>
  <c r="AD533" i="1"/>
  <c r="AE533" i="1"/>
  <c r="AF533" i="1"/>
  <c r="AG533" i="1"/>
  <c r="AH533" i="1"/>
  <c r="AD534" i="1"/>
  <c r="AE534" i="1"/>
  <c r="AF534" i="1"/>
  <c r="AG534" i="1"/>
  <c r="AH534" i="1"/>
  <c r="AI534" i="1"/>
  <c r="AD535" i="1"/>
  <c r="AE535" i="1"/>
  <c r="AF535" i="1"/>
  <c r="AG535" i="1"/>
  <c r="AH535" i="1"/>
  <c r="AI535" i="1"/>
  <c r="AD536" i="1"/>
  <c r="AE536" i="1"/>
  <c r="AF536" i="1"/>
  <c r="AG536" i="1"/>
  <c r="AH536" i="1"/>
  <c r="AI536" i="1"/>
  <c r="AD537" i="1"/>
  <c r="AE537" i="1"/>
  <c r="AF537" i="1"/>
  <c r="AG537" i="1"/>
  <c r="AH537" i="1"/>
  <c r="AI537" i="1"/>
  <c r="AD538" i="1"/>
  <c r="AE538" i="1"/>
  <c r="AF538" i="1"/>
  <c r="AG538" i="1"/>
  <c r="AH538" i="1"/>
  <c r="AI538" i="1"/>
  <c r="AD539" i="1"/>
  <c r="AE539" i="1"/>
  <c r="AF539" i="1"/>
  <c r="AG539" i="1"/>
  <c r="AH539" i="1"/>
  <c r="AI539" i="1"/>
  <c r="AD540" i="1"/>
  <c r="AE540" i="1"/>
  <c r="AF540" i="1"/>
  <c r="AG540" i="1"/>
  <c r="AH540" i="1"/>
  <c r="AI540" i="1"/>
  <c r="AD541" i="1"/>
  <c r="AE541" i="1"/>
  <c r="AF541" i="1"/>
  <c r="AG541" i="1"/>
  <c r="AH541" i="1"/>
  <c r="AI541" i="1"/>
  <c r="AD542" i="1"/>
  <c r="AE542" i="1"/>
  <c r="AF542" i="1"/>
  <c r="AG542" i="1"/>
  <c r="AH542" i="1"/>
  <c r="AI542" i="1"/>
  <c r="AD543" i="1"/>
  <c r="AE543" i="1"/>
  <c r="AF543" i="1"/>
  <c r="AG543" i="1"/>
  <c r="AH543" i="1"/>
  <c r="AI543" i="1"/>
  <c r="AD544" i="1"/>
  <c r="AE544" i="1"/>
  <c r="AF544" i="1"/>
  <c r="AG544" i="1"/>
  <c r="AH544" i="1"/>
  <c r="AI544" i="1"/>
  <c r="AD545" i="1"/>
  <c r="AE545" i="1"/>
  <c r="AF545" i="1"/>
  <c r="AG545" i="1"/>
  <c r="AH545" i="1"/>
  <c r="AI545" i="1"/>
  <c r="AD546" i="1"/>
  <c r="AE546" i="1"/>
  <c r="AF546" i="1"/>
  <c r="AG546" i="1"/>
  <c r="AH546" i="1"/>
  <c r="AI546" i="1"/>
  <c r="AD547" i="1"/>
  <c r="AE547" i="1"/>
  <c r="AF547" i="1"/>
  <c r="AG547" i="1"/>
  <c r="AH547" i="1"/>
  <c r="AI547" i="1"/>
  <c r="AD548" i="1"/>
  <c r="AE548" i="1"/>
  <c r="AF548" i="1"/>
  <c r="AG548" i="1"/>
  <c r="AH548" i="1"/>
  <c r="AI548" i="1"/>
  <c r="AD549" i="1"/>
  <c r="AE549" i="1"/>
  <c r="AF549" i="1"/>
  <c r="AG549" i="1"/>
  <c r="AH549" i="1"/>
  <c r="AI549" i="1"/>
  <c r="AD550" i="1"/>
  <c r="AE550" i="1"/>
  <c r="AF550" i="1"/>
  <c r="AG550" i="1"/>
  <c r="AH550" i="1"/>
  <c r="AI550" i="1"/>
  <c r="AD551" i="1"/>
  <c r="AE551" i="1"/>
  <c r="AF551" i="1"/>
  <c r="AG551" i="1"/>
  <c r="AH551" i="1"/>
  <c r="AI551" i="1"/>
  <c r="AD552" i="1"/>
  <c r="AE552" i="1"/>
  <c r="AF552" i="1"/>
  <c r="AG552" i="1"/>
  <c r="AH552" i="1"/>
  <c r="AI552" i="1"/>
  <c r="AD553" i="1"/>
  <c r="AE553" i="1"/>
  <c r="AF553" i="1"/>
  <c r="AG553" i="1"/>
  <c r="AH553" i="1"/>
  <c r="AI553" i="1"/>
  <c r="AD554" i="1"/>
  <c r="AE554" i="1"/>
  <c r="AF554" i="1"/>
  <c r="AG554" i="1"/>
  <c r="AH554" i="1"/>
  <c r="AI554" i="1"/>
  <c r="AD555" i="1"/>
  <c r="AE555" i="1"/>
  <c r="AF555" i="1"/>
  <c r="AG555" i="1"/>
  <c r="AH555" i="1"/>
  <c r="AI555" i="1"/>
  <c r="AD556" i="1"/>
  <c r="AE556" i="1"/>
  <c r="AF556" i="1"/>
  <c r="AG556" i="1"/>
  <c r="AH556" i="1"/>
  <c r="AI556" i="1"/>
  <c r="AD557" i="1"/>
  <c r="AE557" i="1"/>
  <c r="AF557" i="1"/>
  <c r="AG557" i="1"/>
  <c r="AH557" i="1"/>
  <c r="AI557" i="1"/>
  <c r="AD558" i="1"/>
  <c r="AE558" i="1"/>
  <c r="AF558" i="1"/>
  <c r="AG558" i="1"/>
  <c r="AH558" i="1"/>
  <c r="AI558" i="1"/>
  <c r="AD559" i="1"/>
  <c r="AE559" i="1"/>
  <c r="AF559" i="1"/>
  <c r="AG559" i="1"/>
  <c r="AH559" i="1"/>
  <c r="AI559" i="1"/>
  <c r="AD560" i="1"/>
  <c r="AE560" i="1"/>
  <c r="AF560" i="1"/>
  <c r="AG560" i="1"/>
  <c r="AH560" i="1"/>
  <c r="AI560" i="1"/>
  <c r="AD561" i="1"/>
  <c r="AE561" i="1"/>
  <c r="AF561" i="1"/>
  <c r="AG561" i="1"/>
  <c r="AH561" i="1"/>
  <c r="AI561" i="1"/>
  <c r="AD562" i="1"/>
  <c r="AE562" i="1"/>
  <c r="AF562" i="1"/>
  <c r="AG562" i="1"/>
  <c r="AH562" i="1"/>
  <c r="AI562" i="1"/>
  <c r="AD563" i="1"/>
  <c r="AE563" i="1"/>
  <c r="AF563" i="1"/>
  <c r="AG563" i="1"/>
  <c r="AH563" i="1"/>
  <c r="AI563" i="1"/>
  <c r="AD564" i="1"/>
  <c r="AE564" i="1"/>
  <c r="AF564" i="1"/>
  <c r="AG564" i="1"/>
  <c r="AH564" i="1"/>
  <c r="AI564" i="1"/>
  <c r="AD565" i="1"/>
  <c r="AE565" i="1"/>
  <c r="AF565" i="1"/>
  <c r="AG565" i="1"/>
  <c r="AH565" i="1"/>
  <c r="AI565" i="1"/>
  <c r="AD566" i="1"/>
  <c r="AE566" i="1"/>
  <c r="AF566" i="1"/>
  <c r="AG566" i="1"/>
  <c r="AH566" i="1"/>
  <c r="AI566" i="1"/>
  <c r="AD567" i="1"/>
  <c r="AE567" i="1"/>
  <c r="AF567" i="1"/>
  <c r="AG567" i="1"/>
  <c r="AH567" i="1"/>
  <c r="AI567" i="1"/>
  <c r="AD568" i="1"/>
  <c r="AE568" i="1"/>
  <c r="AF568" i="1"/>
  <c r="AG568" i="1"/>
  <c r="AH568" i="1"/>
  <c r="AI568" i="1"/>
  <c r="AD569" i="1"/>
  <c r="AE569" i="1"/>
  <c r="AF569" i="1"/>
  <c r="AG569" i="1"/>
  <c r="AH569" i="1"/>
  <c r="AI569" i="1"/>
  <c r="AD570" i="1"/>
  <c r="AE570" i="1"/>
  <c r="AF570" i="1"/>
  <c r="AG570" i="1"/>
  <c r="AH570" i="1"/>
  <c r="AI570" i="1"/>
  <c r="AD571" i="1"/>
  <c r="AE571" i="1"/>
  <c r="AF571" i="1"/>
  <c r="AG571" i="1"/>
  <c r="AH571" i="1"/>
  <c r="AI571" i="1"/>
  <c r="AD572" i="1"/>
  <c r="AE572" i="1"/>
  <c r="AF572" i="1"/>
  <c r="AG572" i="1"/>
  <c r="AH572" i="1"/>
  <c r="AI572" i="1"/>
  <c r="AD573" i="1"/>
  <c r="AE573" i="1"/>
  <c r="AF573" i="1"/>
  <c r="AG573" i="1"/>
  <c r="AH573" i="1"/>
  <c r="AD574" i="1"/>
  <c r="AE574" i="1"/>
  <c r="AF574" i="1"/>
  <c r="AG574" i="1"/>
  <c r="AH574" i="1"/>
  <c r="AI574" i="1"/>
  <c r="AD575" i="1"/>
  <c r="AE575" i="1"/>
  <c r="AF575" i="1"/>
  <c r="AG575" i="1"/>
  <c r="AH575" i="1"/>
  <c r="AI575" i="1"/>
  <c r="AD576" i="1"/>
  <c r="AE576" i="1"/>
  <c r="AF576" i="1"/>
  <c r="AG576" i="1"/>
  <c r="AH576" i="1"/>
  <c r="AI576" i="1"/>
  <c r="AD577" i="1"/>
  <c r="AE577" i="1"/>
  <c r="AF577" i="1"/>
  <c r="AG577" i="1"/>
  <c r="AH577" i="1"/>
  <c r="AI577" i="1"/>
  <c r="AD578" i="1"/>
  <c r="AE578" i="1"/>
  <c r="AF578" i="1"/>
  <c r="AG578" i="1"/>
  <c r="AH578" i="1"/>
  <c r="AI578" i="1"/>
  <c r="AD579" i="1"/>
  <c r="AE579" i="1"/>
  <c r="AF579" i="1"/>
  <c r="AG579" i="1"/>
  <c r="AH579" i="1"/>
  <c r="AI579" i="1"/>
  <c r="AD580" i="1"/>
  <c r="AE580" i="1"/>
  <c r="AF580" i="1"/>
  <c r="AG580" i="1"/>
  <c r="AH580" i="1"/>
  <c r="AI580" i="1"/>
  <c r="AD581" i="1"/>
  <c r="AE581" i="1"/>
  <c r="AF581" i="1"/>
  <c r="AG581" i="1"/>
  <c r="AH581" i="1"/>
  <c r="AI581" i="1"/>
  <c r="AD582" i="1"/>
  <c r="AE582" i="1"/>
  <c r="AF582" i="1"/>
  <c r="AG582" i="1"/>
  <c r="AH582" i="1"/>
  <c r="AI582" i="1"/>
  <c r="AD583" i="1"/>
  <c r="AE583" i="1"/>
  <c r="AF583" i="1"/>
  <c r="AG583" i="1"/>
  <c r="AH583" i="1"/>
  <c r="AI583" i="1"/>
  <c r="AD584" i="1"/>
  <c r="AE584" i="1"/>
  <c r="AF584" i="1"/>
  <c r="AG584" i="1"/>
  <c r="AH584" i="1"/>
  <c r="AI584" i="1"/>
  <c r="AD585" i="1"/>
  <c r="AE585" i="1"/>
  <c r="AF585" i="1"/>
  <c r="AG585" i="1"/>
  <c r="AH585" i="1"/>
  <c r="AI585" i="1"/>
  <c r="AD586" i="1"/>
  <c r="AE586" i="1"/>
  <c r="AF586" i="1"/>
  <c r="AG586" i="1"/>
  <c r="AH586" i="1"/>
  <c r="AI586" i="1"/>
  <c r="AD587" i="1"/>
  <c r="AE587" i="1"/>
  <c r="AF587" i="1"/>
  <c r="AG587" i="1"/>
  <c r="AH587" i="1"/>
  <c r="AI587" i="1"/>
  <c r="AD588" i="1"/>
  <c r="AE588" i="1"/>
  <c r="AF588" i="1"/>
  <c r="AG588" i="1"/>
  <c r="AH588" i="1"/>
  <c r="AI588" i="1"/>
  <c r="AD589" i="1"/>
  <c r="AE589" i="1"/>
  <c r="AF589" i="1"/>
  <c r="AG589" i="1"/>
  <c r="AH589" i="1"/>
  <c r="AI589" i="1"/>
  <c r="AD590" i="1"/>
  <c r="AE590" i="1"/>
  <c r="AF590" i="1"/>
  <c r="AG590" i="1"/>
  <c r="AH590" i="1"/>
  <c r="AI590" i="1"/>
  <c r="AD591" i="1"/>
  <c r="AE591" i="1"/>
  <c r="AF591" i="1"/>
  <c r="AG591" i="1"/>
  <c r="AH591" i="1"/>
  <c r="AI591" i="1"/>
  <c r="AD592" i="1"/>
  <c r="AE592" i="1"/>
  <c r="AF592" i="1"/>
  <c r="AG592" i="1"/>
  <c r="AH592" i="1"/>
  <c r="AI592" i="1"/>
  <c r="AD593" i="1"/>
  <c r="AE593" i="1"/>
  <c r="AF593" i="1"/>
  <c r="AG593" i="1"/>
  <c r="AH593" i="1"/>
  <c r="AI593" i="1"/>
  <c r="AD594" i="1"/>
  <c r="AE594" i="1"/>
  <c r="AF594" i="1"/>
  <c r="AG594" i="1"/>
  <c r="AH594" i="1"/>
  <c r="AI594" i="1"/>
  <c r="AD595" i="1"/>
  <c r="AE595" i="1"/>
  <c r="AF595" i="1"/>
  <c r="AG595" i="1"/>
  <c r="AH595" i="1"/>
  <c r="AI595" i="1"/>
  <c r="AD596" i="1"/>
  <c r="AE596" i="1"/>
  <c r="AF596" i="1"/>
  <c r="AG596" i="1"/>
  <c r="AH596" i="1"/>
  <c r="AI596" i="1"/>
  <c r="AD597" i="1"/>
  <c r="AE597" i="1"/>
  <c r="AF597" i="1"/>
  <c r="AG597" i="1"/>
  <c r="AH597" i="1"/>
  <c r="AI597" i="1"/>
  <c r="AD598" i="1"/>
  <c r="AE598" i="1"/>
  <c r="AF598" i="1"/>
  <c r="AG598" i="1"/>
  <c r="AH598" i="1"/>
  <c r="AI598" i="1"/>
  <c r="AD599" i="1"/>
  <c r="AE599" i="1"/>
  <c r="AF599" i="1"/>
  <c r="AG599" i="1"/>
  <c r="AH599" i="1"/>
  <c r="AI599" i="1"/>
  <c r="AD600" i="1"/>
  <c r="AE600" i="1"/>
  <c r="AF600" i="1"/>
  <c r="AG600" i="1"/>
  <c r="AH600" i="1"/>
  <c r="AI600" i="1"/>
  <c r="AD601" i="1"/>
  <c r="AE601" i="1"/>
  <c r="AF601" i="1"/>
  <c r="AG601" i="1"/>
  <c r="AH601" i="1"/>
  <c r="AI601" i="1"/>
  <c r="AD602" i="1"/>
  <c r="AE602" i="1"/>
  <c r="AF602" i="1"/>
  <c r="AG602" i="1"/>
  <c r="AH602" i="1"/>
  <c r="AI602" i="1"/>
  <c r="AD603" i="1"/>
  <c r="AE603" i="1"/>
  <c r="AF603" i="1"/>
  <c r="AG603" i="1"/>
  <c r="AH603" i="1"/>
  <c r="AI603" i="1"/>
  <c r="AD604" i="1"/>
  <c r="AE604" i="1"/>
  <c r="AF604" i="1"/>
  <c r="AG604" i="1"/>
  <c r="AH604" i="1"/>
  <c r="AI604" i="1"/>
  <c r="AD605" i="1"/>
  <c r="AE605" i="1"/>
  <c r="AF605" i="1"/>
  <c r="AG605" i="1"/>
  <c r="AH605" i="1"/>
  <c r="AI605" i="1"/>
  <c r="AD606" i="1"/>
  <c r="AE606" i="1"/>
  <c r="AF606" i="1"/>
  <c r="AG606" i="1"/>
  <c r="AH606" i="1"/>
  <c r="AI606" i="1"/>
  <c r="AD607" i="1"/>
  <c r="AE607" i="1"/>
  <c r="AF607" i="1"/>
  <c r="AG607" i="1"/>
  <c r="AH607" i="1"/>
  <c r="AI607" i="1"/>
  <c r="AD608" i="1"/>
  <c r="AE608" i="1"/>
  <c r="AF608" i="1"/>
  <c r="AG608" i="1"/>
  <c r="AH608" i="1"/>
  <c r="AI608" i="1"/>
  <c r="AD609" i="1"/>
  <c r="AE609" i="1"/>
  <c r="AF609" i="1"/>
  <c r="AG609" i="1"/>
  <c r="AH609" i="1"/>
  <c r="AI609" i="1"/>
  <c r="AD610" i="1"/>
  <c r="AE610" i="1"/>
  <c r="AF610" i="1"/>
  <c r="AG610" i="1"/>
  <c r="AH610" i="1"/>
  <c r="AI610" i="1"/>
  <c r="AD611" i="1"/>
  <c r="AE611" i="1"/>
  <c r="AF611" i="1"/>
  <c r="AG611" i="1"/>
  <c r="AH611" i="1"/>
  <c r="AI611" i="1"/>
  <c r="AD612" i="1"/>
  <c r="AE612" i="1"/>
  <c r="AF612" i="1"/>
  <c r="AG612" i="1"/>
  <c r="AH612" i="1"/>
  <c r="AI612" i="1"/>
  <c r="AD613" i="1"/>
  <c r="AE613" i="1"/>
  <c r="AF613" i="1"/>
  <c r="AG613" i="1"/>
  <c r="AH613" i="1"/>
  <c r="AI613" i="1"/>
  <c r="AD614" i="1"/>
  <c r="AE614" i="1"/>
  <c r="AF614" i="1"/>
  <c r="AG614" i="1"/>
  <c r="AH614" i="1"/>
  <c r="AI614" i="1"/>
  <c r="AD615" i="1"/>
  <c r="AE615" i="1"/>
  <c r="AF615" i="1"/>
  <c r="AG615" i="1"/>
  <c r="AH615" i="1"/>
  <c r="AI615" i="1"/>
  <c r="AD616" i="1"/>
  <c r="AE616" i="1"/>
  <c r="AF616" i="1"/>
  <c r="AG616" i="1"/>
  <c r="AH616" i="1"/>
  <c r="AI616" i="1"/>
  <c r="AD617" i="1"/>
  <c r="AE617" i="1"/>
  <c r="AF617" i="1"/>
  <c r="AG617" i="1"/>
  <c r="AH617" i="1"/>
  <c r="AI617" i="1"/>
  <c r="AD618" i="1"/>
  <c r="AE618" i="1"/>
  <c r="AF618" i="1"/>
  <c r="AG618" i="1"/>
  <c r="AH618" i="1"/>
  <c r="AI618" i="1"/>
  <c r="AD619" i="1"/>
  <c r="AE619" i="1"/>
  <c r="AF619" i="1"/>
  <c r="AG619" i="1"/>
  <c r="AH619" i="1"/>
  <c r="AI619" i="1"/>
  <c r="AD620" i="1"/>
  <c r="AE620" i="1"/>
  <c r="AF620" i="1"/>
  <c r="AG620" i="1"/>
  <c r="AH620" i="1"/>
  <c r="AI620" i="1"/>
  <c r="AD621" i="1"/>
  <c r="AE621" i="1"/>
  <c r="AF621" i="1"/>
  <c r="AG621" i="1"/>
  <c r="AH621" i="1"/>
  <c r="AI621" i="1"/>
  <c r="AD622" i="1"/>
  <c r="AE622" i="1"/>
  <c r="AF622" i="1"/>
  <c r="AG622" i="1"/>
  <c r="AH622" i="1"/>
  <c r="AI622" i="1"/>
  <c r="AD623" i="1"/>
  <c r="AE623" i="1"/>
  <c r="AF623" i="1"/>
  <c r="AG623" i="1"/>
  <c r="AH623" i="1"/>
  <c r="AI623" i="1"/>
  <c r="AD624" i="1"/>
  <c r="AE624" i="1"/>
  <c r="AF624" i="1"/>
  <c r="AG624" i="1"/>
  <c r="AH624" i="1"/>
  <c r="AI624" i="1"/>
  <c r="AD625" i="1"/>
  <c r="AE625" i="1"/>
  <c r="AF625" i="1"/>
  <c r="AG625" i="1"/>
  <c r="AH625" i="1"/>
  <c r="AI625" i="1"/>
  <c r="AD626" i="1"/>
  <c r="AE626" i="1"/>
  <c r="AF626" i="1"/>
  <c r="AG626" i="1"/>
  <c r="AH626" i="1"/>
  <c r="AI626" i="1"/>
  <c r="AD627" i="1"/>
  <c r="AE627" i="1"/>
  <c r="AF627" i="1"/>
  <c r="AG627" i="1"/>
  <c r="AH627" i="1"/>
  <c r="AI627" i="1"/>
  <c r="AD628" i="1"/>
  <c r="AE628" i="1"/>
  <c r="AF628" i="1"/>
  <c r="AG628" i="1"/>
  <c r="AH628" i="1"/>
  <c r="AI628" i="1"/>
  <c r="AD629" i="1"/>
  <c r="AE629" i="1"/>
  <c r="AF629" i="1"/>
  <c r="AG629" i="1"/>
  <c r="AH629" i="1"/>
  <c r="AI629" i="1"/>
  <c r="AD630" i="1"/>
  <c r="AE630" i="1"/>
  <c r="AF630" i="1"/>
  <c r="AG630" i="1"/>
  <c r="AH630" i="1"/>
  <c r="AI630" i="1"/>
  <c r="AD631" i="1"/>
  <c r="AE631" i="1"/>
  <c r="AF631" i="1"/>
  <c r="AG631" i="1"/>
  <c r="AH631" i="1"/>
  <c r="AI631" i="1"/>
  <c r="AD632" i="1"/>
  <c r="AE632" i="1"/>
  <c r="AF632" i="1"/>
  <c r="AG632" i="1"/>
  <c r="AH632" i="1"/>
  <c r="AI632" i="1"/>
  <c r="AD633" i="1"/>
  <c r="AE633" i="1"/>
  <c r="AF633" i="1"/>
  <c r="AG633" i="1"/>
  <c r="AH633" i="1"/>
  <c r="AI633" i="1"/>
  <c r="AD634" i="1"/>
  <c r="AE634" i="1"/>
  <c r="AF634" i="1"/>
  <c r="AG634" i="1"/>
  <c r="AH634" i="1"/>
  <c r="AI634" i="1"/>
  <c r="AD635" i="1"/>
  <c r="AE635" i="1"/>
  <c r="AF635" i="1"/>
  <c r="AG635" i="1"/>
  <c r="AH635" i="1"/>
  <c r="AI635" i="1"/>
  <c r="AD636" i="1"/>
  <c r="AE636" i="1"/>
  <c r="AF636" i="1"/>
  <c r="AG636" i="1"/>
  <c r="AH636" i="1"/>
  <c r="AI636" i="1"/>
  <c r="AD637" i="1"/>
  <c r="AE637" i="1"/>
  <c r="AF637" i="1"/>
  <c r="AG637" i="1"/>
  <c r="AH637" i="1"/>
  <c r="AI637" i="1"/>
  <c r="AD638" i="1"/>
  <c r="AE638" i="1"/>
  <c r="AF638" i="1"/>
  <c r="AG638" i="1"/>
  <c r="AH638" i="1"/>
  <c r="AI638" i="1"/>
  <c r="AD639" i="1"/>
  <c r="AE639" i="1"/>
  <c r="AF639" i="1"/>
  <c r="AG639" i="1"/>
  <c r="AH639" i="1"/>
  <c r="AI639" i="1"/>
  <c r="AD640" i="1"/>
  <c r="AE640" i="1"/>
  <c r="AF640" i="1"/>
  <c r="AG640" i="1"/>
  <c r="AH640" i="1"/>
  <c r="AI640" i="1"/>
  <c r="AD641" i="1"/>
  <c r="AE641" i="1"/>
  <c r="AF641" i="1"/>
  <c r="AG641" i="1"/>
  <c r="AH641" i="1"/>
  <c r="AI641" i="1"/>
  <c r="AD642" i="1"/>
  <c r="AE642" i="1"/>
  <c r="AF642" i="1"/>
  <c r="AG642" i="1"/>
  <c r="AH642" i="1"/>
  <c r="AI642" i="1"/>
  <c r="AD643" i="1"/>
  <c r="AE643" i="1"/>
  <c r="AF643" i="1"/>
  <c r="AG643" i="1"/>
  <c r="AH643" i="1"/>
  <c r="AI643" i="1"/>
  <c r="AD644" i="1"/>
  <c r="AE644" i="1"/>
  <c r="AF644" i="1"/>
  <c r="AG644" i="1"/>
  <c r="AH644" i="1"/>
  <c r="AI644" i="1"/>
  <c r="AD645" i="1"/>
  <c r="AE645" i="1"/>
  <c r="AF645" i="1"/>
  <c r="AG645" i="1"/>
  <c r="AH645" i="1"/>
  <c r="AI645" i="1"/>
  <c r="AD646" i="1"/>
  <c r="AE646" i="1"/>
  <c r="AF646" i="1"/>
  <c r="AG646" i="1"/>
  <c r="AH646" i="1"/>
  <c r="AI646" i="1"/>
  <c r="AD647" i="1"/>
  <c r="AE647" i="1"/>
  <c r="AF647" i="1"/>
  <c r="AG647" i="1"/>
  <c r="AH647" i="1"/>
  <c r="AI647" i="1"/>
  <c r="AD648" i="1"/>
  <c r="AE648" i="1"/>
  <c r="AF648" i="1"/>
  <c r="AG648" i="1"/>
  <c r="AH648" i="1"/>
  <c r="AI648" i="1"/>
  <c r="AD649" i="1"/>
  <c r="AE649" i="1"/>
  <c r="AF649" i="1"/>
  <c r="AG649" i="1"/>
  <c r="AH649" i="1"/>
  <c r="AI649" i="1"/>
  <c r="AD650" i="1"/>
  <c r="AE650" i="1"/>
  <c r="AF650" i="1"/>
  <c r="AG650" i="1"/>
  <c r="AH650" i="1"/>
  <c r="AI650" i="1"/>
  <c r="AD651" i="1"/>
  <c r="AE651" i="1"/>
  <c r="AF651" i="1"/>
  <c r="AG651" i="1"/>
  <c r="AH651" i="1"/>
  <c r="AI651" i="1"/>
  <c r="AD652" i="1"/>
  <c r="AE652" i="1"/>
  <c r="AF652" i="1"/>
  <c r="AG652" i="1"/>
  <c r="AH652" i="1"/>
  <c r="AI652" i="1"/>
  <c r="AD653" i="1"/>
  <c r="AE653" i="1"/>
  <c r="AF653" i="1"/>
  <c r="AG653" i="1"/>
  <c r="AH653" i="1"/>
  <c r="AI653" i="1"/>
  <c r="AD654" i="1"/>
  <c r="AE654" i="1"/>
  <c r="AF654" i="1"/>
  <c r="AG654" i="1"/>
  <c r="AH654" i="1"/>
  <c r="AI654" i="1"/>
  <c r="AD655" i="1"/>
  <c r="AE655" i="1"/>
  <c r="AF655" i="1"/>
  <c r="AG655" i="1"/>
  <c r="AH655" i="1"/>
  <c r="AI655" i="1"/>
  <c r="AD656" i="1"/>
  <c r="AE656" i="1"/>
  <c r="AF656" i="1"/>
  <c r="AG656" i="1"/>
  <c r="AH656" i="1"/>
  <c r="AI656" i="1"/>
  <c r="AD657" i="1"/>
  <c r="AE657" i="1"/>
  <c r="AF657" i="1"/>
  <c r="AG657" i="1"/>
  <c r="AH657" i="1"/>
  <c r="AI657" i="1"/>
  <c r="AD658" i="1"/>
  <c r="AE658" i="1"/>
  <c r="AF658" i="1"/>
  <c r="AG658" i="1"/>
  <c r="AH658" i="1"/>
  <c r="AI658" i="1"/>
  <c r="AD659" i="1"/>
  <c r="AE659" i="1"/>
  <c r="AF659" i="1"/>
  <c r="AG659" i="1"/>
  <c r="AH659" i="1"/>
  <c r="AI659" i="1"/>
  <c r="AD660" i="1"/>
  <c r="AE660" i="1"/>
  <c r="AF660" i="1"/>
  <c r="AG660" i="1"/>
  <c r="AH660" i="1"/>
  <c r="AI660" i="1"/>
  <c r="AD661" i="1"/>
  <c r="AE661" i="1"/>
  <c r="AF661" i="1"/>
  <c r="AG661" i="1"/>
  <c r="AH661" i="1"/>
  <c r="AI661" i="1"/>
  <c r="AD662" i="1"/>
  <c r="AE662" i="1"/>
  <c r="AF662" i="1"/>
  <c r="AG662" i="1"/>
  <c r="AH662" i="1"/>
  <c r="AI662" i="1"/>
  <c r="AD663" i="1"/>
  <c r="AE663" i="1"/>
  <c r="AF663" i="1"/>
  <c r="AG663" i="1"/>
  <c r="AH663" i="1"/>
  <c r="AI663" i="1"/>
  <c r="AD664" i="1"/>
  <c r="AE664" i="1"/>
  <c r="AF664" i="1"/>
  <c r="AG664" i="1"/>
  <c r="AH664" i="1"/>
  <c r="AI664" i="1"/>
  <c r="AD665" i="1"/>
  <c r="AE665" i="1"/>
  <c r="AF665" i="1"/>
  <c r="AG665" i="1"/>
  <c r="AH665" i="1"/>
  <c r="AI665" i="1"/>
  <c r="AD666" i="1"/>
  <c r="AE666" i="1"/>
  <c r="AF666" i="1"/>
  <c r="AG666" i="1"/>
  <c r="AH666" i="1"/>
  <c r="AI666" i="1"/>
  <c r="AD667" i="1"/>
  <c r="AE667" i="1"/>
  <c r="AF667" i="1"/>
  <c r="AG667" i="1"/>
  <c r="AH667" i="1"/>
  <c r="AI667" i="1"/>
  <c r="AD668" i="1"/>
  <c r="AE668" i="1"/>
  <c r="AF668" i="1"/>
  <c r="AG668" i="1"/>
  <c r="AH668" i="1"/>
  <c r="AI668" i="1"/>
  <c r="AD669" i="1"/>
  <c r="AE669" i="1"/>
  <c r="AF669" i="1"/>
  <c r="AG669" i="1"/>
  <c r="AH669" i="1"/>
  <c r="AI669" i="1"/>
  <c r="AD670" i="1"/>
  <c r="AE670" i="1"/>
  <c r="AF670" i="1"/>
  <c r="AG670" i="1"/>
  <c r="AH670" i="1"/>
  <c r="AI670" i="1"/>
  <c r="AD671" i="1"/>
  <c r="AE671" i="1"/>
  <c r="AF671" i="1"/>
  <c r="AG671" i="1"/>
  <c r="AH671" i="1"/>
  <c r="AI671" i="1"/>
  <c r="AD672" i="1"/>
  <c r="AE672" i="1"/>
  <c r="AF672" i="1"/>
  <c r="AG672" i="1"/>
  <c r="AH672" i="1"/>
  <c r="AI672" i="1"/>
  <c r="AD673" i="1"/>
  <c r="AE673" i="1"/>
  <c r="AF673" i="1"/>
  <c r="AG673" i="1"/>
  <c r="AH673" i="1"/>
  <c r="AI673" i="1"/>
  <c r="AD674" i="1"/>
  <c r="AE674" i="1"/>
  <c r="AF674" i="1"/>
  <c r="AG674" i="1"/>
  <c r="AH674" i="1"/>
  <c r="AI674" i="1"/>
  <c r="AD675" i="1"/>
  <c r="AE675" i="1"/>
  <c r="AF675" i="1"/>
  <c r="AG675" i="1"/>
  <c r="AH675" i="1"/>
  <c r="AI675" i="1"/>
  <c r="AD676" i="1"/>
  <c r="AE676" i="1"/>
  <c r="AF676" i="1"/>
  <c r="AG676" i="1"/>
  <c r="AH676" i="1"/>
  <c r="AI676" i="1"/>
  <c r="AD677" i="1"/>
  <c r="AE677" i="1"/>
  <c r="AF677" i="1"/>
  <c r="AG677" i="1"/>
  <c r="AH677" i="1"/>
  <c r="AI677" i="1"/>
  <c r="AD678" i="1"/>
  <c r="AE678" i="1"/>
  <c r="AF678" i="1"/>
  <c r="AG678" i="1"/>
  <c r="AH678" i="1"/>
  <c r="AI678" i="1"/>
  <c r="AD679" i="1"/>
  <c r="AE679" i="1"/>
  <c r="AF679" i="1"/>
  <c r="AG679" i="1"/>
  <c r="AH679" i="1"/>
  <c r="AI679" i="1"/>
  <c r="AD680" i="1"/>
  <c r="AE680" i="1"/>
  <c r="AF680" i="1"/>
  <c r="AG680" i="1"/>
  <c r="AH680" i="1"/>
  <c r="AI680" i="1"/>
  <c r="AD681" i="1"/>
  <c r="AE681" i="1"/>
  <c r="AF681" i="1"/>
  <c r="AG681" i="1"/>
  <c r="AH681" i="1"/>
  <c r="AI681" i="1"/>
  <c r="AD682" i="1"/>
  <c r="AE682" i="1"/>
  <c r="AF682" i="1"/>
  <c r="AG682" i="1"/>
  <c r="AH682" i="1"/>
  <c r="AI682" i="1"/>
  <c r="AD683" i="1"/>
  <c r="AE683" i="1"/>
  <c r="AF683" i="1"/>
  <c r="AG683" i="1"/>
  <c r="AH683" i="1"/>
  <c r="AI683" i="1"/>
  <c r="AD684" i="1"/>
  <c r="AE684" i="1"/>
  <c r="AF684" i="1"/>
  <c r="AG684" i="1"/>
  <c r="AH684" i="1"/>
  <c r="AI684" i="1"/>
  <c r="AD685" i="1"/>
  <c r="AE685" i="1"/>
  <c r="AF685" i="1"/>
  <c r="AG685" i="1"/>
  <c r="AH685" i="1"/>
  <c r="AI685" i="1"/>
  <c r="AD686" i="1"/>
  <c r="AE686" i="1"/>
  <c r="AF686" i="1"/>
  <c r="AG686" i="1"/>
  <c r="AH686" i="1"/>
  <c r="AI686" i="1"/>
  <c r="AD687" i="1"/>
  <c r="AE687" i="1"/>
  <c r="AF687" i="1"/>
  <c r="AG687" i="1"/>
  <c r="AH687" i="1"/>
  <c r="AI687" i="1"/>
  <c r="AD688" i="1"/>
  <c r="AE688" i="1"/>
  <c r="AF688" i="1"/>
  <c r="AG688" i="1"/>
  <c r="AH688" i="1"/>
  <c r="AI688" i="1"/>
  <c r="AD689" i="1"/>
  <c r="AE689" i="1"/>
  <c r="AF689" i="1"/>
  <c r="AG689" i="1"/>
  <c r="AH689" i="1"/>
  <c r="AI689" i="1"/>
  <c r="AD690" i="1"/>
  <c r="AE690" i="1"/>
  <c r="AF690" i="1"/>
  <c r="AG690" i="1"/>
  <c r="AH690" i="1"/>
  <c r="AI690" i="1"/>
  <c r="AD691" i="1"/>
  <c r="AE691" i="1"/>
  <c r="AF691" i="1"/>
  <c r="AG691" i="1"/>
  <c r="AH691" i="1"/>
  <c r="AI691" i="1"/>
  <c r="AD692" i="1"/>
  <c r="AE692" i="1"/>
  <c r="AF692" i="1"/>
  <c r="AG692" i="1"/>
  <c r="AH692" i="1"/>
  <c r="AI692" i="1"/>
  <c r="AD693" i="1"/>
  <c r="AE693" i="1"/>
  <c r="AF693" i="1"/>
  <c r="AG693" i="1"/>
  <c r="AH693" i="1"/>
  <c r="AI693" i="1"/>
  <c r="AD694" i="1"/>
  <c r="AE694" i="1"/>
  <c r="AF694" i="1"/>
  <c r="AG694" i="1"/>
  <c r="AH694" i="1"/>
  <c r="AI694" i="1"/>
  <c r="AD695" i="1"/>
  <c r="AE695" i="1"/>
  <c r="AF695" i="1"/>
  <c r="AG695" i="1"/>
  <c r="AH695" i="1"/>
  <c r="AI695" i="1"/>
  <c r="AD696" i="1"/>
  <c r="AE696" i="1"/>
  <c r="AF696" i="1"/>
  <c r="AG696" i="1"/>
  <c r="AH696" i="1"/>
  <c r="AI696" i="1"/>
  <c r="AD697" i="1"/>
  <c r="AE697" i="1"/>
  <c r="AF697" i="1"/>
  <c r="AG697" i="1"/>
  <c r="AH697" i="1"/>
  <c r="AI697" i="1"/>
  <c r="AD698" i="1"/>
  <c r="AE698" i="1"/>
  <c r="AF698" i="1"/>
  <c r="AG698" i="1"/>
  <c r="AH698" i="1"/>
  <c r="AD699" i="1"/>
  <c r="AE699" i="1"/>
  <c r="AF699" i="1"/>
  <c r="AG699" i="1"/>
  <c r="AH699" i="1"/>
  <c r="AI699" i="1"/>
  <c r="AD700" i="1"/>
  <c r="AE700" i="1"/>
  <c r="AF700" i="1"/>
  <c r="AG700" i="1"/>
  <c r="AH700" i="1"/>
  <c r="AI700" i="1"/>
  <c r="AD701" i="1"/>
  <c r="AE701" i="1"/>
  <c r="AF701" i="1"/>
  <c r="AG701" i="1"/>
  <c r="AH701" i="1"/>
  <c r="AI701" i="1"/>
  <c r="AD702" i="1"/>
  <c r="AE702" i="1"/>
  <c r="AF702" i="1"/>
  <c r="AG702" i="1"/>
  <c r="AH702" i="1"/>
  <c r="AI702" i="1"/>
  <c r="AD703" i="1"/>
  <c r="AE703" i="1"/>
  <c r="AF703" i="1"/>
  <c r="AG703" i="1"/>
  <c r="AH703" i="1"/>
  <c r="AI703" i="1"/>
  <c r="AD704" i="1"/>
  <c r="AE704" i="1"/>
  <c r="AF704" i="1"/>
  <c r="AG704" i="1"/>
  <c r="AH704" i="1"/>
  <c r="AI704" i="1"/>
  <c r="AD705" i="1"/>
  <c r="AE705" i="1"/>
  <c r="AF705" i="1"/>
  <c r="AG705" i="1"/>
  <c r="AH705" i="1"/>
  <c r="AI705" i="1"/>
  <c r="AD706" i="1"/>
  <c r="AE706" i="1"/>
  <c r="AF706" i="1"/>
  <c r="AG706" i="1"/>
  <c r="AH706" i="1"/>
  <c r="AD707" i="1"/>
  <c r="AE707" i="1"/>
  <c r="AF707" i="1"/>
  <c r="AG707" i="1"/>
  <c r="AH707" i="1"/>
  <c r="AI707" i="1"/>
  <c r="AD708" i="1"/>
  <c r="AE708" i="1"/>
  <c r="AF708" i="1"/>
  <c r="AG708" i="1"/>
  <c r="AH708" i="1"/>
  <c r="AI708" i="1"/>
  <c r="AD709" i="1"/>
  <c r="AE709" i="1"/>
  <c r="AF709" i="1"/>
  <c r="AG709" i="1"/>
  <c r="AH709" i="1"/>
  <c r="AI709" i="1"/>
  <c r="AD710" i="1"/>
  <c r="AE710" i="1"/>
  <c r="AF710" i="1"/>
  <c r="AG710" i="1"/>
  <c r="AH710" i="1"/>
  <c r="AI710" i="1"/>
  <c r="AD711" i="1"/>
  <c r="AE711" i="1"/>
  <c r="AF711" i="1"/>
  <c r="AG711" i="1"/>
  <c r="AH711" i="1"/>
  <c r="AI711" i="1"/>
  <c r="AD712" i="1"/>
  <c r="AE712" i="1"/>
  <c r="AF712" i="1"/>
  <c r="AG712" i="1"/>
  <c r="AH712" i="1"/>
  <c r="AI712" i="1"/>
  <c r="AD713" i="1"/>
  <c r="AE713" i="1"/>
  <c r="AF713" i="1"/>
  <c r="AG713" i="1"/>
  <c r="AH713" i="1"/>
  <c r="AI713" i="1"/>
  <c r="AD714" i="1"/>
  <c r="AE714" i="1"/>
  <c r="AF714" i="1"/>
  <c r="AG714" i="1"/>
  <c r="AH714" i="1"/>
  <c r="AI714" i="1"/>
  <c r="AD715" i="1"/>
  <c r="AE715" i="1"/>
  <c r="AF715" i="1"/>
  <c r="AG715" i="1"/>
  <c r="AH715" i="1"/>
  <c r="AI715" i="1"/>
  <c r="AD716" i="1"/>
  <c r="AE716" i="1"/>
  <c r="AF716" i="1"/>
  <c r="AG716" i="1"/>
  <c r="AH716" i="1"/>
  <c r="AI716" i="1"/>
  <c r="AD717" i="1"/>
  <c r="AE717" i="1"/>
  <c r="AF717" i="1"/>
  <c r="AG717" i="1"/>
  <c r="AH717" i="1"/>
  <c r="AI717" i="1"/>
  <c r="AD718" i="1"/>
  <c r="AE718" i="1"/>
  <c r="AF718" i="1"/>
  <c r="AG718" i="1"/>
  <c r="AH718" i="1"/>
  <c r="AI718" i="1"/>
  <c r="AD719" i="1"/>
  <c r="AE719" i="1"/>
  <c r="AF719" i="1"/>
  <c r="AG719" i="1"/>
  <c r="AH719" i="1"/>
  <c r="AI719" i="1"/>
  <c r="AD720" i="1"/>
  <c r="AE720" i="1"/>
  <c r="AF720" i="1"/>
  <c r="AG720" i="1"/>
  <c r="AH720" i="1"/>
  <c r="AI720" i="1"/>
  <c r="AD721" i="1"/>
  <c r="AE721" i="1"/>
  <c r="AF721" i="1"/>
  <c r="AG721" i="1"/>
  <c r="AH721" i="1"/>
  <c r="AI721" i="1"/>
  <c r="AD722" i="1"/>
  <c r="AE722" i="1"/>
  <c r="AF722" i="1"/>
  <c r="AG722" i="1"/>
  <c r="AH722" i="1"/>
  <c r="AI722" i="1"/>
  <c r="AD723" i="1"/>
  <c r="AE723" i="1"/>
  <c r="AF723" i="1"/>
  <c r="AG723" i="1"/>
  <c r="AH723" i="1"/>
  <c r="AI723" i="1"/>
  <c r="AD724" i="1"/>
  <c r="AE724" i="1"/>
  <c r="AF724" i="1"/>
  <c r="AG724" i="1"/>
  <c r="AH724" i="1"/>
  <c r="AI724" i="1"/>
  <c r="AD725" i="1"/>
  <c r="AE725" i="1"/>
  <c r="AF725" i="1"/>
  <c r="AG725" i="1"/>
  <c r="AH725" i="1"/>
  <c r="AI725" i="1"/>
  <c r="AD726" i="1"/>
  <c r="AE726" i="1"/>
  <c r="AF726" i="1"/>
  <c r="AG726" i="1"/>
  <c r="AH726" i="1"/>
  <c r="AI726" i="1"/>
  <c r="AD727" i="1"/>
  <c r="AE727" i="1"/>
  <c r="AF727" i="1"/>
  <c r="AG727" i="1"/>
  <c r="AH727" i="1"/>
  <c r="AI727" i="1"/>
  <c r="AD728" i="1"/>
  <c r="AE728" i="1"/>
  <c r="AF728" i="1"/>
  <c r="AG728" i="1"/>
  <c r="AH728" i="1"/>
  <c r="AI728" i="1"/>
  <c r="AD729" i="1"/>
  <c r="AE729" i="1"/>
  <c r="AF729" i="1"/>
  <c r="AG729" i="1"/>
  <c r="AH729" i="1"/>
  <c r="AI729" i="1"/>
  <c r="AD730" i="1"/>
  <c r="AE730" i="1"/>
  <c r="AF730" i="1"/>
  <c r="AG730" i="1"/>
  <c r="AH730" i="1"/>
  <c r="AI730" i="1"/>
  <c r="AD731" i="1"/>
  <c r="AE731" i="1"/>
  <c r="AF731" i="1"/>
  <c r="AG731" i="1"/>
  <c r="AH731" i="1"/>
  <c r="AI731" i="1"/>
  <c r="AD732" i="1"/>
  <c r="AE732" i="1"/>
  <c r="AF732" i="1"/>
  <c r="AG732" i="1"/>
  <c r="AH732" i="1"/>
  <c r="AI732" i="1"/>
  <c r="AD733" i="1"/>
  <c r="AE733" i="1"/>
  <c r="AF733" i="1"/>
  <c r="AG733" i="1"/>
  <c r="AH733" i="1"/>
  <c r="AI733" i="1"/>
  <c r="AD734" i="1"/>
  <c r="AE734" i="1"/>
  <c r="AF734" i="1"/>
  <c r="AG734" i="1"/>
  <c r="AH734" i="1"/>
  <c r="AI734" i="1"/>
  <c r="AD735" i="1"/>
  <c r="AE735" i="1"/>
  <c r="AF735" i="1"/>
  <c r="AG735" i="1"/>
  <c r="AH735" i="1"/>
  <c r="AI735" i="1"/>
  <c r="AD736" i="1"/>
  <c r="AE736" i="1"/>
  <c r="AF736" i="1"/>
  <c r="AG736" i="1"/>
  <c r="AH736" i="1"/>
  <c r="AI736" i="1"/>
  <c r="AD737" i="1"/>
  <c r="AE737" i="1"/>
  <c r="AF737" i="1"/>
  <c r="AG737" i="1"/>
  <c r="AH737" i="1"/>
  <c r="AI737" i="1"/>
  <c r="AD738" i="1"/>
  <c r="AE738" i="1"/>
  <c r="AF738" i="1"/>
  <c r="AG738" i="1"/>
  <c r="AH738" i="1"/>
  <c r="AI738" i="1"/>
  <c r="AD739" i="1"/>
  <c r="AE739" i="1"/>
  <c r="AF739" i="1"/>
  <c r="AG739" i="1"/>
  <c r="AH739" i="1"/>
  <c r="AI739" i="1"/>
  <c r="AD740" i="1"/>
  <c r="AE740" i="1"/>
  <c r="AF740" i="1"/>
  <c r="AG740" i="1"/>
  <c r="AH740" i="1"/>
  <c r="AI740" i="1"/>
  <c r="AD741" i="1"/>
  <c r="AE741" i="1"/>
  <c r="AF741" i="1"/>
  <c r="AG741" i="1"/>
  <c r="AH741" i="1"/>
  <c r="AI741" i="1"/>
  <c r="AD742" i="1"/>
  <c r="AE742" i="1"/>
  <c r="AF742" i="1"/>
  <c r="AG742" i="1"/>
  <c r="AH742" i="1"/>
  <c r="AI742" i="1"/>
  <c r="AD743" i="1"/>
  <c r="AE743" i="1"/>
  <c r="AF743" i="1"/>
  <c r="AG743" i="1"/>
  <c r="AH743" i="1"/>
  <c r="AI743" i="1"/>
  <c r="AD744" i="1"/>
  <c r="AE744" i="1"/>
  <c r="AF744" i="1"/>
  <c r="AG744" i="1"/>
  <c r="AH744" i="1"/>
  <c r="AI744" i="1"/>
  <c r="AD745" i="1"/>
  <c r="AE745" i="1"/>
  <c r="AF745" i="1"/>
  <c r="AG745" i="1"/>
  <c r="AH745" i="1"/>
  <c r="AI745" i="1"/>
  <c r="AD746" i="1"/>
  <c r="AE746" i="1"/>
  <c r="AF746" i="1"/>
  <c r="AG746" i="1"/>
  <c r="AH746" i="1"/>
  <c r="AI746" i="1"/>
  <c r="AD747" i="1"/>
  <c r="AE747" i="1"/>
  <c r="AF747" i="1"/>
  <c r="AG747" i="1"/>
  <c r="AH747" i="1"/>
  <c r="AI747" i="1"/>
  <c r="AD748" i="1"/>
  <c r="AE748" i="1"/>
  <c r="AF748" i="1"/>
  <c r="AG748" i="1"/>
  <c r="AH748" i="1"/>
  <c r="AI748" i="1"/>
  <c r="AD749" i="1"/>
  <c r="AE749" i="1"/>
  <c r="AF749" i="1"/>
  <c r="AG749" i="1"/>
  <c r="AH749" i="1"/>
  <c r="AI749" i="1"/>
  <c r="AD750" i="1"/>
  <c r="AE750" i="1"/>
  <c r="AF750" i="1"/>
  <c r="AG750" i="1"/>
  <c r="AH750" i="1"/>
  <c r="AI750" i="1"/>
  <c r="AD751" i="1"/>
  <c r="AE751" i="1"/>
  <c r="AF751" i="1"/>
  <c r="AG751" i="1"/>
  <c r="AH751" i="1"/>
  <c r="AI751" i="1"/>
  <c r="AD752" i="1"/>
  <c r="AE752" i="1"/>
  <c r="AF752" i="1"/>
  <c r="AG752" i="1"/>
  <c r="AH752" i="1"/>
  <c r="AI752" i="1"/>
  <c r="AD753" i="1"/>
  <c r="AE753" i="1"/>
  <c r="AF753" i="1"/>
  <c r="AG753" i="1"/>
  <c r="AH753" i="1"/>
  <c r="AD754" i="1"/>
  <c r="AE754" i="1"/>
  <c r="AF754" i="1"/>
  <c r="AG754" i="1"/>
  <c r="AH754" i="1"/>
  <c r="AI754" i="1"/>
  <c r="AD755" i="1"/>
  <c r="AE755" i="1"/>
  <c r="AF755" i="1"/>
  <c r="AG755" i="1"/>
  <c r="AH755" i="1"/>
  <c r="AI755" i="1"/>
  <c r="AD756" i="1"/>
  <c r="AE756" i="1"/>
  <c r="AF756" i="1"/>
  <c r="AG756" i="1"/>
  <c r="AH756" i="1"/>
  <c r="AI756" i="1"/>
  <c r="AD757" i="1"/>
  <c r="AE757" i="1"/>
  <c r="AF757" i="1"/>
  <c r="AG757" i="1"/>
  <c r="AH757" i="1"/>
  <c r="AI757" i="1"/>
  <c r="AD758" i="1"/>
  <c r="AE758" i="1"/>
  <c r="AF758" i="1"/>
  <c r="AG758" i="1"/>
  <c r="AH758" i="1"/>
  <c r="AI758" i="1"/>
  <c r="AD759" i="1"/>
  <c r="AE759" i="1"/>
  <c r="AF759" i="1"/>
  <c r="AG759" i="1"/>
  <c r="AH759" i="1"/>
  <c r="AI759" i="1"/>
  <c r="AD760" i="1"/>
  <c r="AE760" i="1"/>
  <c r="AF760" i="1"/>
  <c r="AG760" i="1"/>
  <c r="AH760" i="1"/>
  <c r="AI760" i="1"/>
  <c r="AD761" i="1"/>
  <c r="AE761" i="1"/>
  <c r="AF761" i="1"/>
  <c r="AG761" i="1"/>
  <c r="AH761" i="1"/>
  <c r="AI761" i="1"/>
  <c r="AD762" i="1"/>
  <c r="AE762" i="1"/>
  <c r="AF762" i="1"/>
  <c r="AG762" i="1"/>
  <c r="AH762" i="1"/>
  <c r="AI762" i="1"/>
  <c r="AD763" i="1"/>
  <c r="AE763" i="1"/>
  <c r="AF763" i="1"/>
  <c r="AG763" i="1"/>
  <c r="AH763" i="1"/>
  <c r="AI763" i="1"/>
  <c r="AD764" i="1"/>
  <c r="AE764" i="1"/>
  <c r="AF764" i="1"/>
  <c r="AG764" i="1"/>
  <c r="AH764" i="1"/>
  <c r="AI764" i="1"/>
  <c r="AD765" i="1"/>
  <c r="AE765" i="1"/>
  <c r="AF765" i="1"/>
  <c r="AG765" i="1"/>
  <c r="AH765" i="1"/>
  <c r="AI765" i="1"/>
  <c r="AD766" i="1"/>
  <c r="AE766" i="1"/>
  <c r="AF766" i="1"/>
  <c r="AG766" i="1"/>
  <c r="AH766" i="1"/>
  <c r="AI766" i="1"/>
  <c r="AD767" i="1"/>
  <c r="AE767" i="1"/>
  <c r="AF767" i="1"/>
  <c r="AG767" i="1"/>
  <c r="AH767" i="1"/>
  <c r="AI767" i="1"/>
  <c r="AD768" i="1"/>
  <c r="AE768" i="1"/>
  <c r="AF768" i="1"/>
  <c r="AG768" i="1"/>
  <c r="AH768" i="1"/>
  <c r="AI768" i="1"/>
  <c r="AD769" i="1"/>
  <c r="AE769" i="1"/>
  <c r="AF769" i="1"/>
  <c r="AG769" i="1"/>
  <c r="AH769" i="1"/>
  <c r="AI769" i="1"/>
  <c r="AD770" i="1"/>
  <c r="AE770" i="1"/>
  <c r="AF770" i="1"/>
  <c r="AG770" i="1"/>
  <c r="AH770" i="1"/>
  <c r="AI770" i="1"/>
  <c r="AD771" i="1"/>
  <c r="AE771" i="1"/>
  <c r="AF771" i="1"/>
  <c r="AG771" i="1"/>
  <c r="AH771" i="1"/>
  <c r="AI771" i="1"/>
  <c r="AD772" i="1"/>
  <c r="AE772" i="1"/>
  <c r="AF772" i="1"/>
  <c r="AG772" i="1"/>
  <c r="AH772" i="1"/>
  <c r="AI772" i="1"/>
  <c r="AD773" i="1"/>
  <c r="AE773" i="1"/>
  <c r="AF773" i="1"/>
  <c r="AG773" i="1"/>
  <c r="AH773" i="1"/>
  <c r="AI773" i="1"/>
  <c r="AD774" i="1"/>
  <c r="AE774" i="1"/>
  <c r="AF774" i="1"/>
  <c r="AG774" i="1"/>
  <c r="AH774" i="1"/>
  <c r="AI774" i="1"/>
  <c r="AD775" i="1"/>
  <c r="AE775" i="1"/>
  <c r="AF775" i="1"/>
  <c r="AG775" i="1"/>
  <c r="AH775" i="1"/>
  <c r="AD776" i="1"/>
  <c r="AE776" i="1"/>
  <c r="AF776" i="1"/>
  <c r="AG776" i="1"/>
  <c r="AH776" i="1"/>
  <c r="AD777" i="1"/>
  <c r="AE777" i="1"/>
  <c r="AF777" i="1"/>
  <c r="AG777" i="1"/>
  <c r="AH777" i="1"/>
  <c r="AI777" i="1"/>
  <c r="AD778" i="1"/>
  <c r="AE778" i="1"/>
  <c r="AF778" i="1"/>
  <c r="AG778" i="1"/>
  <c r="AH778" i="1"/>
  <c r="AI778" i="1"/>
  <c r="AD779" i="1"/>
  <c r="AE779" i="1"/>
  <c r="AF779" i="1"/>
  <c r="AG779" i="1"/>
  <c r="AH779" i="1"/>
  <c r="AI779" i="1"/>
  <c r="AD780" i="1"/>
  <c r="AE780" i="1"/>
  <c r="AF780" i="1"/>
  <c r="AG780" i="1"/>
  <c r="AH780" i="1"/>
  <c r="AI780" i="1"/>
  <c r="AD781" i="1"/>
  <c r="AE781" i="1"/>
  <c r="AF781" i="1"/>
  <c r="AG781" i="1"/>
  <c r="AH781" i="1"/>
  <c r="AI781" i="1"/>
  <c r="AD782" i="1"/>
  <c r="AE782" i="1"/>
  <c r="AF782" i="1"/>
  <c r="AG782" i="1"/>
  <c r="AH782" i="1"/>
  <c r="AI782" i="1"/>
  <c r="AD783" i="1"/>
  <c r="AE783" i="1"/>
  <c r="AF783" i="1"/>
  <c r="AG783" i="1"/>
  <c r="AH783" i="1"/>
  <c r="AI783" i="1"/>
  <c r="AD784" i="1"/>
  <c r="AE784" i="1"/>
  <c r="AF784" i="1"/>
  <c r="AG784" i="1"/>
  <c r="AH784" i="1"/>
  <c r="AI784" i="1"/>
  <c r="AD785" i="1"/>
  <c r="AE785" i="1"/>
  <c r="AF785" i="1"/>
  <c r="AG785" i="1"/>
  <c r="AH785" i="1"/>
  <c r="AI785" i="1"/>
  <c r="AD786" i="1"/>
  <c r="AE786" i="1"/>
  <c r="AF786" i="1"/>
  <c r="AG786" i="1"/>
  <c r="AH786" i="1"/>
  <c r="AI786" i="1"/>
  <c r="AD787" i="1"/>
  <c r="AE787" i="1"/>
  <c r="AF787" i="1"/>
  <c r="AG787" i="1"/>
  <c r="AH787" i="1"/>
  <c r="AI787" i="1"/>
  <c r="AD788" i="1"/>
  <c r="AE788" i="1"/>
  <c r="AF788" i="1"/>
  <c r="AG788" i="1"/>
  <c r="AH788" i="1"/>
  <c r="AD789" i="1"/>
  <c r="AE789" i="1"/>
  <c r="AF789" i="1"/>
  <c r="AG789" i="1"/>
  <c r="AH789" i="1"/>
  <c r="AI789" i="1"/>
  <c r="AD790" i="1"/>
  <c r="AE790" i="1"/>
  <c r="AF790" i="1"/>
  <c r="AG790" i="1"/>
  <c r="AH790" i="1"/>
  <c r="AI790" i="1"/>
  <c r="AD791" i="1"/>
  <c r="AE791" i="1"/>
  <c r="AF791" i="1"/>
  <c r="AG791" i="1"/>
  <c r="AH791" i="1"/>
  <c r="AI791" i="1"/>
  <c r="AD792" i="1"/>
  <c r="AE792" i="1"/>
  <c r="AF792" i="1"/>
  <c r="AG792" i="1"/>
  <c r="AH792" i="1"/>
  <c r="AI792" i="1"/>
  <c r="AD793" i="1"/>
  <c r="AE793" i="1"/>
  <c r="AF793" i="1"/>
  <c r="AG793" i="1"/>
  <c r="AH793" i="1"/>
  <c r="AI793" i="1"/>
  <c r="AD794" i="1"/>
  <c r="AE794" i="1"/>
  <c r="AF794" i="1"/>
  <c r="AG794" i="1"/>
  <c r="AH794" i="1"/>
  <c r="AI794" i="1"/>
  <c r="AD795" i="1"/>
  <c r="AE795" i="1"/>
  <c r="AF795" i="1"/>
  <c r="AG795" i="1"/>
  <c r="AH795" i="1"/>
  <c r="AI795" i="1"/>
  <c r="AD796" i="1"/>
  <c r="AE796" i="1"/>
  <c r="AF796" i="1"/>
  <c r="AG796" i="1"/>
  <c r="AH796" i="1"/>
  <c r="AI796" i="1"/>
  <c r="AD797" i="1"/>
  <c r="AE797" i="1"/>
  <c r="AF797" i="1"/>
  <c r="AG797" i="1"/>
  <c r="AH797" i="1"/>
  <c r="AI797" i="1"/>
  <c r="AD798" i="1"/>
  <c r="AE798" i="1"/>
  <c r="AF798" i="1"/>
  <c r="AG798" i="1"/>
  <c r="AH798" i="1"/>
  <c r="AI798" i="1"/>
  <c r="AD799" i="1"/>
  <c r="AE799" i="1"/>
  <c r="AF799" i="1"/>
  <c r="AG799" i="1"/>
  <c r="AH799" i="1"/>
  <c r="AI799" i="1"/>
  <c r="AD800" i="1"/>
  <c r="AE800" i="1"/>
  <c r="AF800" i="1"/>
  <c r="AG800" i="1"/>
  <c r="AH800" i="1"/>
  <c r="AI800" i="1"/>
  <c r="AD801" i="1"/>
  <c r="AE801" i="1"/>
  <c r="AF801" i="1"/>
  <c r="AG801" i="1"/>
  <c r="AH801" i="1"/>
  <c r="AD802" i="1"/>
  <c r="AE802" i="1"/>
  <c r="AF802" i="1"/>
  <c r="AG802" i="1"/>
  <c r="AH802" i="1"/>
  <c r="AI802" i="1"/>
  <c r="AD803" i="1"/>
  <c r="AE803" i="1"/>
  <c r="AF803" i="1"/>
  <c r="AG803" i="1"/>
  <c r="AH803" i="1"/>
  <c r="AI803" i="1"/>
  <c r="AD804" i="1"/>
  <c r="AE804" i="1"/>
  <c r="AF804" i="1"/>
  <c r="AG804" i="1"/>
  <c r="AH804" i="1"/>
  <c r="AI804" i="1"/>
  <c r="AD805" i="1"/>
  <c r="AE805" i="1"/>
  <c r="AF805" i="1"/>
  <c r="AG805" i="1"/>
  <c r="AH805" i="1"/>
  <c r="AI805" i="1"/>
  <c r="AD806" i="1"/>
  <c r="AE806" i="1"/>
  <c r="AF806" i="1"/>
  <c r="AG806" i="1"/>
  <c r="AH806" i="1"/>
  <c r="AI806" i="1"/>
  <c r="AD807" i="1"/>
  <c r="AE807" i="1"/>
  <c r="AF807" i="1"/>
  <c r="AG807" i="1"/>
  <c r="AH807" i="1"/>
  <c r="AI807" i="1"/>
  <c r="AD808" i="1"/>
  <c r="AE808" i="1"/>
  <c r="AF808" i="1"/>
  <c r="AG808" i="1"/>
  <c r="AH808" i="1"/>
  <c r="AI808" i="1"/>
  <c r="AD809" i="1"/>
  <c r="AE809" i="1"/>
  <c r="AF809" i="1"/>
  <c r="AG809" i="1"/>
  <c r="AH809" i="1"/>
  <c r="AI809" i="1"/>
  <c r="AD810" i="1"/>
  <c r="AE810" i="1"/>
  <c r="AF810" i="1"/>
  <c r="AG810" i="1"/>
  <c r="AH810" i="1"/>
  <c r="AI810" i="1"/>
  <c r="AD811" i="1"/>
  <c r="AE811" i="1"/>
  <c r="AF811" i="1"/>
  <c r="AG811" i="1"/>
  <c r="AH811" i="1"/>
  <c r="AI811" i="1"/>
  <c r="AD812" i="1"/>
  <c r="AE812" i="1"/>
  <c r="AF812" i="1"/>
  <c r="AG812" i="1"/>
  <c r="AH812" i="1"/>
  <c r="AI812" i="1"/>
  <c r="AD813" i="1"/>
  <c r="AE813" i="1"/>
  <c r="AF813" i="1"/>
  <c r="AG813" i="1"/>
  <c r="AH813" i="1"/>
  <c r="AI813" i="1"/>
  <c r="AD814" i="1"/>
  <c r="AE814" i="1"/>
  <c r="AF814" i="1"/>
  <c r="AG814" i="1"/>
  <c r="AH814" i="1"/>
  <c r="AI814" i="1"/>
  <c r="AD815" i="1"/>
  <c r="AE815" i="1"/>
  <c r="AF815" i="1"/>
  <c r="AG815" i="1"/>
  <c r="AH815" i="1"/>
  <c r="AI815" i="1"/>
  <c r="AD816" i="1"/>
  <c r="AE816" i="1"/>
  <c r="AF816" i="1"/>
  <c r="AG816" i="1"/>
  <c r="AH816" i="1"/>
  <c r="AI816" i="1"/>
  <c r="AD817" i="1"/>
  <c r="AE817" i="1"/>
  <c r="AF817" i="1"/>
  <c r="AG817" i="1"/>
  <c r="AH817" i="1"/>
  <c r="AI817" i="1"/>
  <c r="AD818" i="1"/>
  <c r="AE818" i="1"/>
  <c r="AF818" i="1"/>
  <c r="AG818" i="1"/>
  <c r="AH818" i="1"/>
  <c r="AI818" i="1"/>
  <c r="AD819" i="1"/>
  <c r="AE819" i="1"/>
  <c r="AF819" i="1"/>
  <c r="AG819" i="1"/>
  <c r="AH819" i="1"/>
  <c r="AI819" i="1"/>
  <c r="AD820" i="1"/>
  <c r="AE820" i="1"/>
  <c r="AF820" i="1"/>
  <c r="AG820" i="1"/>
  <c r="AH820" i="1"/>
  <c r="AI820" i="1"/>
  <c r="AD821" i="1"/>
  <c r="AE821" i="1"/>
  <c r="AF821" i="1"/>
  <c r="AG821" i="1"/>
  <c r="AH821" i="1"/>
  <c r="AI821" i="1"/>
  <c r="AD822" i="1"/>
  <c r="AE822" i="1"/>
  <c r="AF822" i="1"/>
  <c r="AG822" i="1"/>
  <c r="AH822" i="1"/>
  <c r="AI822" i="1"/>
  <c r="AD823" i="1"/>
  <c r="AE823" i="1"/>
  <c r="AF823" i="1"/>
  <c r="AG823" i="1"/>
  <c r="AH823" i="1"/>
  <c r="AI823" i="1"/>
  <c r="AD824" i="1"/>
  <c r="AE824" i="1"/>
  <c r="AF824" i="1"/>
  <c r="AG824" i="1"/>
  <c r="AH824" i="1"/>
  <c r="AI824" i="1"/>
  <c r="AD825" i="1"/>
  <c r="AE825" i="1"/>
  <c r="AF825" i="1"/>
  <c r="AG825" i="1"/>
  <c r="AH825" i="1"/>
  <c r="AI825" i="1"/>
  <c r="AD826" i="1"/>
  <c r="AE826" i="1"/>
  <c r="AF826" i="1"/>
  <c r="AG826" i="1"/>
  <c r="AH826" i="1"/>
  <c r="AI826" i="1"/>
  <c r="AD827" i="1"/>
  <c r="AE827" i="1"/>
  <c r="AF827" i="1"/>
  <c r="AG827" i="1"/>
  <c r="AH827" i="1"/>
  <c r="AI827" i="1"/>
  <c r="AD828" i="1"/>
  <c r="AE828" i="1"/>
  <c r="AF828" i="1"/>
  <c r="AG828" i="1"/>
  <c r="AH828" i="1"/>
  <c r="AI828" i="1"/>
  <c r="AD829" i="1"/>
  <c r="AE829" i="1"/>
  <c r="AF829" i="1"/>
  <c r="AG829" i="1"/>
  <c r="AH829" i="1"/>
  <c r="AI829" i="1"/>
  <c r="AD830" i="1"/>
  <c r="AE830" i="1"/>
  <c r="AF830" i="1"/>
  <c r="AG830" i="1"/>
  <c r="AH830" i="1"/>
  <c r="AI830" i="1"/>
  <c r="AD831" i="1"/>
  <c r="AE831" i="1"/>
  <c r="AF831" i="1"/>
  <c r="AG831" i="1"/>
  <c r="AH831" i="1"/>
  <c r="AI831" i="1"/>
  <c r="AD832" i="1"/>
  <c r="AE832" i="1"/>
  <c r="AF832" i="1"/>
  <c r="AG832" i="1"/>
  <c r="AH832" i="1"/>
  <c r="AI832" i="1"/>
  <c r="AD833" i="1"/>
  <c r="AE833" i="1"/>
  <c r="AF833" i="1"/>
  <c r="AG833" i="1"/>
  <c r="AH833" i="1"/>
  <c r="AI833" i="1"/>
  <c r="AD834" i="1"/>
  <c r="AE834" i="1"/>
  <c r="AF834" i="1"/>
  <c r="AG834" i="1"/>
  <c r="AH834" i="1"/>
  <c r="AI834" i="1"/>
  <c r="AD835" i="1"/>
  <c r="AE835" i="1"/>
  <c r="AF835" i="1"/>
  <c r="AG835" i="1"/>
  <c r="AH835" i="1"/>
  <c r="AI835" i="1"/>
  <c r="AD836" i="1"/>
  <c r="AE836" i="1"/>
  <c r="AF836" i="1"/>
  <c r="AG836" i="1"/>
  <c r="AH836" i="1"/>
  <c r="AI836" i="1"/>
  <c r="AD837" i="1"/>
  <c r="AE837" i="1"/>
  <c r="AF837" i="1"/>
  <c r="AG837" i="1"/>
  <c r="AH837" i="1"/>
  <c r="AI837" i="1"/>
  <c r="AD838" i="1"/>
  <c r="AE838" i="1"/>
  <c r="AF838" i="1"/>
  <c r="AG838" i="1"/>
  <c r="AH838" i="1"/>
  <c r="AI838" i="1"/>
  <c r="AD839" i="1"/>
  <c r="AE839" i="1"/>
  <c r="AF839" i="1"/>
  <c r="AG839" i="1"/>
  <c r="AH839" i="1"/>
  <c r="AI839" i="1"/>
  <c r="AD840" i="1"/>
  <c r="AE840" i="1"/>
  <c r="AF840" i="1"/>
  <c r="AG840" i="1"/>
  <c r="AH840" i="1"/>
  <c r="AI840" i="1"/>
  <c r="AD841" i="1"/>
  <c r="AE841" i="1"/>
  <c r="AF841" i="1"/>
  <c r="AG841" i="1"/>
  <c r="AH841" i="1"/>
  <c r="AI841" i="1"/>
  <c r="AD842" i="1"/>
  <c r="AE842" i="1"/>
  <c r="AF842" i="1"/>
  <c r="AG842" i="1"/>
  <c r="AH842" i="1"/>
  <c r="AI842" i="1"/>
  <c r="AD843" i="1"/>
  <c r="AE843" i="1"/>
  <c r="AF843" i="1"/>
  <c r="AG843" i="1"/>
  <c r="AH843" i="1"/>
  <c r="AI843" i="1"/>
  <c r="AD844" i="1"/>
  <c r="AE844" i="1"/>
  <c r="AF844" i="1"/>
  <c r="AG844" i="1"/>
  <c r="AH844" i="1"/>
  <c r="AI844" i="1"/>
  <c r="AD845" i="1"/>
  <c r="AE845" i="1"/>
  <c r="AF845" i="1"/>
  <c r="AG845" i="1"/>
  <c r="AH845" i="1"/>
  <c r="AI845" i="1"/>
  <c r="AD846" i="1"/>
  <c r="AE846" i="1"/>
  <c r="AF846" i="1"/>
  <c r="AG846" i="1"/>
  <c r="AH846" i="1"/>
  <c r="AI846" i="1"/>
  <c r="AD847" i="1"/>
  <c r="AE847" i="1"/>
  <c r="AF847" i="1"/>
  <c r="AG847" i="1"/>
  <c r="AH847" i="1"/>
  <c r="AI847" i="1"/>
  <c r="AD848" i="1"/>
  <c r="AE848" i="1"/>
  <c r="AF848" i="1"/>
  <c r="AG848" i="1"/>
  <c r="AH848" i="1"/>
  <c r="AI848" i="1"/>
  <c r="AD849" i="1"/>
  <c r="AE849" i="1"/>
  <c r="AF849" i="1"/>
  <c r="AG849" i="1"/>
  <c r="AH849" i="1"/>
  <c r="AI849" i="1"/>
  <c r="AD850" i="1"/>
  <c r="AE850" i="1"/>
  <c r="AF850" i="1"/>
  <c r="AG850" i="1"/>
  <c r="AH850" i="1"/>
  <c r="AI850" i="1"/>
  <c r="AD851" i="1"/>
  <c r="AE851" i="1"/>
  <c r="AF851" i="1"/>
  <c r="AG851" i="1"/>
  <c r="AH851" i="1"/>
  <c r="AI851" i="1"/>
  <c r="AD852" i="1"/>
  <c r="AE852" i="1"/>
  <c r="AF852" i="1"/>
  <c r="AG852" i="1"/>
  <c r="AH852" i="1"/>
  <c r="AI852" i="1"/>
  <c r="AD853" i="1"/>
  <c r="AE853" i="1"/>
  <c r="AF853" i="1"/>
  <c r="AG853" i="1"/>
  <c r="AH853" i="1"/>
  <c r="AI853" i="1"/>
  <c r="AD854" i="1"/>
  <c r="AE854" i="1"/>
  <c r="AF854" i="1"/>
  <c r="AG854" i="1"/>
  <c r="AH854" i="1"/>
  <c r="AI854" i="1"/>
  <c r="AD855" i="1"/>
  <c r="AE855" i="1"/>
  <c r="AF855" i="1"/>
  <c r="AG855" i="1"/>
  <c r="AH855" i="1"/>
  <c r="AI855" i="1"/>
  <c r="AD856" i="1"/>
  <c r="AE856" i="1"/>
  <c r="AF856" i="1"/>
  <c r="AG856" i="1"/>
  <c r="AH856" i="1"/>
  <c r="AI856" i="1"/>
  <c r="AD857" i="1"/>
  <c r="AE857" i="1"/>
  <c r="AF857" i="1"/>
  <c r="AG857" i="1"/>
  <c r="AH857" i="1"/>
  <c r="AI857" i="1"/>
  <c r="AD858" i="1"/>
  <c r="AE858" i="1"/>
  <c r="AF858" i="1"/>
  <c r="AG858" i="1"/>
  <c r="AH858" i="1"/>
  <c r="AI858" i="1"/>
  <c r="AD859" i="1"/>
  <c r="AE859" i="1"/>
  <c r="AF859" i="1"/>
  <c r="AG859" i="1"/>
  <c r="AH859" i="1"/>
  <c r="AI859" i="1"/>
  <c r="AD860" i="1"/>
  <c r="AE860" i="1"/>
  <c r="AF860" i="1"/>
  <c r="AG860" i="1"/>
  <c r="AH860" i="1"/>
  <c r="AI860" i="1"/>
  <c r="AD861" i="1"/>
  <c r="AE861" i="1"/>
  <c r="AF861" i="1"/>
  <c r="AG861" i="1"/>
  <c r="AH861" i="1"/>
  <c r="AI861" i="1"/>
  <c r="AD862" i="1"/>
  <c r="AE862" i="1"/>
  <c r="AF862" i="1"/>
  <c r="AG862" i="1"/>
  <c r="AH862" i="1"/>
  <c r="AI862" i="1"/>
  <c r="AD863" i="1"/>
  <c r="AE863" i="1"/>
  <c r="AF863" i="1"/>
  <c r="AG863" i="1"/>
  <c r="AH863" i="1"/>
  <c r="AI863" i="1"/>
  <c r="AD864" i="1"/>
  <c r="AE864" i="1"/>
  <c r="AF864" i="1"/>
  <c r="AG864" i="1"/>
  <c r="AH864" i="1"/>
  <c r="AI864" i="1"/>
  <c r="AD865" i="1"/>
  <c r="AE865" i="1"/>
  <c r="AF865" i="1"/>
  <c r="AG865" i="1"/>
  <c r="AH865" i="1"/>
  <c r="AI865" i="1"/>
  <c r="AD866" i="1"/>
  <c r="AE866" i="1"/>
  <c r="AF866" i="1"/>
  <c r="AG866" i="1"/>
  <c r="AH866" i="1"/>
  <c r="AI866" i="1"/>
  <c r="AD867" i="1"/>
  <c r="AE867" i="1"/>
  <c r="AF867" i="1"/>
  <c r="AG867" i="1"/>
  <c r="AH867" i="1"/>
  <c r="AI867" i="1"/>
  <c r="AD868" i="1"/>
  <c r="AE868" i="1"/>
  <c r="AF868" i="1"/>
  <c r="AG868" i="1"/>
  <c r="AH868" i="1"/>
  <c r="AI868" i="1"/>
  <c r="AD869" i="1"/>
  <c r="AE869" i="1"/>
  <c r="AF869" i="1"/>
  <c r="AG869" i="1"/>
  <c r="AH869" i="1"/>
  <c r="AI869" i="1"/>
  <c r="AD870" i="1"/>
  <c r="AE870" i="1"/>
  <c r="AF870" i="1"/>
  <c r="AG870" i="1"/>
  <c r="AH870" i="1"/>
  <c r="AI870" i="1"/>
  <c r="AD871" i="1"/>
  <c r="AE871" i="1"/>
  <c r="AF871" i="1"/>
  <c r="AG871" i="1"/>
  <c r="AH871" i="1"/>
  <c r="AI871" i="1"/>
  <c r="AD872" i="1"/>
  <c r="AE872" i="1"/>
  <c r="AF872" i="1"/>
  <c r="AG872" i="1"/>
  <c r="AH872" i="1"/>
  <c r="AI872" i="1"/>
  <c r="AD873" i="1"/>
  <c r="AE873" i="1"/>
  <c r="AF873" i="1"/>
  <c r="AG873" i="1"/>
  <c r="AH873" i="1"/>
  <c r="AI873" i="1"/>
  <c r="AD874" i="1"/>
  <c r="AE874" i="1"/>
  <c r="AF874" i="1"/>
  <c r="AG874" i="1"/>
  <c r="AH874" i="1"/>
  <c r="AI874" i="1"/>
  <c r="AD875" i="1"/>
  <c r="AE875" i="1"/>
  <c r="AF875" i="1"/>
  <c r="AG875" i="1"/>
  <c r="AH875" i="1"/>
  <c r="AI875" i="1"/>
  <c r="AD876" i="1"/>
  <c r="AE876" i="1"/>
  <c r="AF876" i="1"/>
  <c r="AG876" i="1"/>
  <c r="AH876" i="1"/>
  <c r="AI876" i="1"/>
  <c r="AD877" i="1"/>
  <c r="AE877" i="1"/>
  <c r="AF877" i="1"/>
  <c r="AG877" i="1"/>
  <c r="AH877" i="1"/>
  <c r="AI877" i="1"/>
  <c r="AD878" i="1"/>
  <c r="AE878" i="1"/>
  <c r="AF878" i="1"/>
  <c r="AG878" i="1"/>
  <c r="AH878" i="1"/>
  <c r="AI878" i="1"/>
  <c r="AD879" i="1"/>
  <c r="AE879" i="1"/>
  <c r="AF879" i="1"/>
  <c r="AG879" i="1"/>
  <c r="AH879" i="1"/>
  <c r="AI879" i="1"/>
  <c r="AD880" i="1"/>
  <c r="AE880" i="1"/>
  <c r="AF880" i="1"/>
  <c r="AG880" i="1"/>
  <c r="AH880" i="1"/>
  <c r="AI880" i="1"/>
  <c r="AD881" i="1"/>
  <c r="AE881" i="1"/>
  <c r="AF881" i="1"/>
  <c r="AG881" i="1"/>
  <c r="AH881" i="1"/>
  <c r="AI881" i="1"/>
  <c r="AD882" i="1"/>
  <c r="AE882" i="1"/>
  <c r="AF882" i="1"/>
  <c r="AG882" i="1"/>
  <c r="AH882" i="1"/>
  <c r="AI882" i="1"/>
  <c r="AD883" i="1"/>
  <c r="AE883" i="1"/>
  <c r="AF883" i="1"/>
  <c r="AG883" i="1"/>
  <c r="AH883" i="1"/>
  <c r="AI883" i="1"/>
  <c r="AD884" i="1"/>
  <c r="AE884" i="1"/>
  <c r="AF884" i="1"/>
  <c r="AG884" i="1"/>
  <c r="AH884" i="1"/>
  <c r="AI884" i="1"/>
  <c r="AD885" i="1"/>
  <c r="AE885" i="1"/>
  <c r="AF885" i="1"/>
  <c r="AG885" i="1"/>
  <c r="AH885" i="1"/>
  <c r="AI885" i="1"/>
  <c r="AD886" i="1"/>
  <c r="AE886" i="1"/>
  <c r="AF886" i="1"/>
  <c r="AG886" i="1"/>
  <c r="AH886" i="1"/>
  <c r="AI886" i="1"/>
  <c r="AD887" i="1"/>
  <c r="AE887" i="1"/>
  <c r="AF887" i="1"/>
  <c r="AG887" i="1"/>
  <c r="AH887" i="1"/>
  <c r="AI887" i="1"/>
  <c r="AD888" i="1"/>
  <c r="AE888" i="1"/>
  <c r="AF888" i="1"/>
  <c r="AG888" i="1"/>
  <c r="AH888" i="1"/>
  <c r="AI888" i="1"/>
  <c r="AD889" i="1"/>
  <c r="AE889" i="1"/>
  <c r="AF889" i="1"/>
  <c r="AG889" i="1"/>
  <c r="AH889" i="1"/>
  <c r="AI889" i="1"/>
  <c r="AD890" i="1"/>
  <c r="AE890" i="1"/>
  <c r="AF890" i="1"/>
  <c r="AG890" i="1"/>
  <c r="AH890" i="1"/>
  <c r="AI890" i="1"/>
  <c r="AD891" i="1"/>
  <c r="AE891" i="1"/>
  <c r="AF891" i="1"/>
  <c r="AG891" i="1"/>
  <c r="AH891" i="1"/>
  <c r="AI891" i="1"/>
  <c r="AD892" i="1"/>
  <c r="AE892" i="1"/>
  <c r="AF892" i="1"/>
  <c r="AG892" i="1"/>
  <c r="AH892" i="1"/>
  <c r="AI892" i="1"/>
  <c r="AD893" i="1"/>
  <c r="AE893" i="1"/>
  <c r="AF893" i="1"/>
  <c r="AG893" i="1"/>
  <c r="AH893" i="1"/>
  <c r="AI893" i="1"/>
  <c r="AD894" i="1"/>
  <c r="AE894" i="1"/>
  <c r="AF894" i="1"/>
  <c r="AG894" i="1"/>
  <c r="AH894" i="1"/>
  <c r="AI894" i="1"/>
  <c r="AD895" i="1"/>
  <c r="AE895" i="1"/>
  <c r="AF895" i="1"/>
  <c r="AG895" i="1"/>
  <c r="AH895" i="1"/>
  <c r="AI895" i="1"/>
  <c r="AD896" i="1"/>
  <c r="AE896" i="1"/>
  <c r="AF896" i="1"/>
  <c r="AG896" i="1"/>
  <c r="AH896" i="1"/>
  <c r="AI896" i="1"/>
  <c r="AD897" i="1"/>
  <c r="AE897" i="1"/>
  <c r="AF897" i="1"/>
  <c r="AG897" i="1"/>
  <c r="AH897" i="1"/>
  <c r="AI897" i="1"/>
  <c r="AD898" i="1"/>
  <c r="AE898" i="1"/>
  <c r="AF898" i="1"/>
  <c r="AG898" i="1"/>
  <c r="AH898" i="1"/>
  <c r="AI898" i="1"/>
  <c r="AD899" i="1"/>
  <c r="AE899" i="1"/>
  <c r="AF899" i="1"/>
  <c r="AG899" i="1"/>
  <c r="AH899" i="1"/>
  <c r="AI899" i="1"/>
  <c r="AD900" i="1"/>
  <c r="AE900" i="1"/>
  <c r="AF900" i="1"/>
  <c r="AG900" i="1"/>
  <c r="AH900" i="1"/>
  <c r="AI900" i="1"/>
  <c r="AD901" i="1"/>
  <c r="AE901" i="1"/>
  <c r="AF901" i="1"/>
  <c r="AG901" i="1"/>
  <c r="AH901" i="1"/>
  <c r="AI901" i="1"/>
  <c r="AD902" i="1"/>
  <c r="AE902" i="1"/>
  <c r="AF902" i="1"/>
  <c r="AG902" i="1"/>
  <c r="AH902" i="1"/>
  <c r="AI902" i="1"/>
  <c r="AD903" i="1"/>
  <c r="AE903" i="1"/>
  <c r="AF903" i="1"/>
  <c r="AG903" i="1"/>
  <c r="AH903" i="1"/>
  <c r="AI903" i="1"/>
  <c r="AD904" i="1"/>
  <c r="AE904" i="1"/>
  <c r="AF904" i="1"/>
  <c r="AG904" i="1"/>
  <c r="AH904" i="1"/>
  <c r="AI904" i="1"/>
  <c r="AD905" i="1"/>
  <c r="AE905" i="1"/>
  <c r="AF905" i="1"/>
  <c r="AG905" i="1"/>
  <c r="AH905" i="1"/>
  <c r="AD906" i="1"/>
  <c r="AE906" i="1"/>
  <c r="AF906" i="1"/>
  <c r="AG906" i="1"/>
  <c r="AH906" i="1"/>
  <c r="AI906" i="1"/>
  <c r="AD907" i="1"/>
  <c r="AE907" i="1"/>
  <c r="AF907" i="1"/>
  <c r="AG907" i="1"/>
  <c r="AH907" i="1"/>
  <c r="AI907" i="1"/>
  <c r="AD908" i="1"/>
  <c r="AE908" i="1"/>
  <c r="AF908" i="1"/>
  <c r="AG908" i="1"/>
  <c r="AH908" i="1"/>
  <c r="AI908" i="1"/>
  <c r="AD909" i="1"/>
  <c r="AE909" i="1"/>
  <c r="AF909" i="1"/>
  <c r="AG909" i="1"/>
  <c r="AH909" i="1"/>
  <c r="AI909" i="1"/>
  <c r="AD910" i="1"/>
  <c r="AE910" i="1"/>
  <c r="AF910" i="1"/>
  <c r="AG910" i="1"/>
  <c r="AH910" i="1"/>
  <c r="AI910" i="1"/>
  <c r="AD911" i="1"/>
  <c r="AE911" i="1"/>
  <c r="AF911" i="1"/>
  <c r="AG911" i="1"/>
  <c r="AH911" i="1"/>
  <c r="AI911" i="1"/>
  <c r="AD912" i="1"/>
  <c r="AE912" i="1"/>
  <c r="AF912" i="1"/>
  <c r="AG912" i="1"/>
  <c r="AH912" i="1"/>
  <c r="AI912" i="1"/>
  <c r="AD913" i="1"/>
  <c r="AE913" i="1"/>
  <c r="AF913" i="1"/>
  <c r="AG913" i="1"/>
  <c r="AH913" i="1"/>
  <c r="AI913" i="1"/>
  <c r="AD914" i="1"/>
  <c r="AE914" i="1"/>
  <c r="AF914" i="1"/>
  <c r="AG914" i="1"/>
  <c r="AH914" i="1"/>
  <c r="AI914" i="1"/>
  <c r="AD915" i="1"/>
  <c r="AE915" i="1"/>
  <c r="AF915" i="1"/>
  <c r="AG915" i="1"/>
  <c r="AH915" i="1"/>
  <c r="AI915" i="1"/>
  <c r="AD916" i="1"/>
  <c r="AE916" i="1"/>
  <c r="AF916" i="1"/>
  <c r="AG916" i="1"/>
  <c r="AH916" i="1"/>
  <c r="AI916" i="1"/>
  <c r="AD917" i="1"/>
  <c r="AE917" i="1"/>
  <c r="AF917" i="1"/>
  <c r="AG917" i="1"/>
  <c r="AH917" i="1"/>
  <c r="AI917" i="1"/>
  <c r="AD918" i="1"/>
  <c r="AE918" i="1"/>
  <c r="AF918" i="1"/>
  <c r="AG918" i="1"/>
  <c r="AH918" i="1"/>
  <c r="AI918" i="1"/>
  <c r="AD919" i="1"/>
  <c r="AE919" i="1"/>
  <c r="AF919" i="1"/>
  <c r="AG919" i="1"/>
  <c r="AH919" i="1"/>
  <c r="AI919" i="1"/>
  <c r="AD920" i="1"/>
  <c r="AE920" i="1"/>
  <c r="AF920" i="1"/>
  <c r="AG920" i="1"/>
  <c r="AH920" i="1"/>
  <c r="AI920" i="1"/>
  <c r="AD921" i="1"/>
  <c r="AE921" i="1"/>
  <c r="AF921" i="1"/>
  <c r="AG921" i="1"/>
  <c r="AH921" i="1"/>
  <c r="AI921" i="1"/>
  <c r="AD922" i="1"/>
  <c r="AE922" i="1"/>
  <c r="AF922" i="1"/>
  <c r="AG922" i="1"/>
  <c r="AH922" i="1"/>
  <c r="AI922" i="1"/>
  <c r="AD923" i="1"/>
  <c r="AE923" i="1"/>
  <c r="AF923" i="1"/>
  <c r="AG923" i="1"/>
  <c r="AH923" i="1"/>
  <c r="AI923" i="1"/>
  <c r="AD924" i="1"/>
  <c r="AE924" i="1"/>
  <c r="AF924" i="1"/>
  <c r="AG924" i="1"/>
  <c r="AH924" i="1"/>
  <c r="AI924" i="1"/>
  <c r="AD925" i="1"/>
  <c r="AE925" i="1"/>
  <c r="AF925" i="1"/>
  <c r="AG925" i="1"/>
  <c r="AH925" i="1"/>
  <c r="AI925" i="1"/>
  <c r="AD926" i="1"/>
  <c r="AE926" i="1"/>
  <c r="AF926" i="1"/>
  <c r="AG926" i="1"/>
  <c r="AH926" i="1"/>
  <c r="AI926" i="1"/>
  <c r="AD927" i="1"/>
  <c r="AE927" i="1"/>
  <c r="AF927" i="1"/>
  <c r="AG927" i="1"/>
  <c r="AH927" i="1"/>
  <c r="AI927" i="1"/>
  <c r="AD928" i="1"/>
  <c r="AE928" i="1"/>
  <c r="AF928" i="1"/>
  <c r="AG928" i="1"/>
  <c r="AH928" i="1"/>
  <c r="AI928" i="1"/>
  <c r="AD929" i="1"/>
  <c r="AE929" i="1"/>
  <c r="AF929" i="1"/>
  <c r="AG929" i="1"/>
  <c r="AH929" i="1"/>
  <c r="AD930" i="1"/>
  <c r="AE930" i="1"/>
  <c r="AF930" i="1"/>
  <c r="AG930" i="1"/>
  <c r="AH930" i="1"/>
  <c r="AI930" i="1"/>
  <c r="AD931" i="1"/>
  <c r="AE931" i="1"/>
  <c r="AF931" i="1"/>
  <c r="AG931" i="1"/>
  <c r="AH931" i="1"/>
  <c r="AI931" i="1"/>
  <c r="AD932" i="1"/>
  <c r="AE932" i="1"/>
  <c r="AF932" i="1"/>
  <c r="AG932" i="1"/>
  <c r="AH932" i="1"/>
  <c r="AI932" i="1"/>
  <c r="AD933" i="1"/>
  <c r="AE933" i="1"/>
  <c r="AF933" i="1"/>
  <c r="AG933" i="1"/>
  <c r="AH933" i="1"/>
  <c r="AI933" i="1"/>
  <c r="AE2" i="1"/>
  <c r="AF2" i="1"/>
  <c r="AG2" i="1"/>
  <c r="AH2" i="1"/>
  <c r="AI2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5" i="1"/>
  <c r="AC116" i="1"/>
  <c r="AC117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80" i="1"/>
  <c r="AC181" i="1"/>
  <c r="AC182" i="1"/>
  <c r="AC183" i="1"/>
  <c r="AC184" i="1"/>
  <c r="AC185" i="1"/>
  <c r="AC186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6" i="1"/>
  <c r="AC807" i="1"/>
  <c r="AC808" i="1"/>
  <c r="AC809" i="1"/>
  <c r="AC810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2" i="1"/>
  <c r="AC873" i="1"/>
  <c r="AC874" i="1"/>
  <c r="AC875" i="1"/>
  <c r="AC876" i="1"/>
  <c r="AC877" i="1"/>
  <c r="AC878" i="1"/>
  <c r="AC879" i="1"/>
  <c r="AC880" i="1"/>
  <c r="AC881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2" i="1"/>
  <c r="AA2" i="1" a="1"/>
  <c r="AA2" i="1" s="1"/>
  <c r="AK92" i="1" l="1"/>
  <c r="AJ717" i="1"/>
  <c r="AJ712" i="1"/>
  <c r="AJ535" i="1"/>
  <c r="AJ701" i="1"/>
  <c r="AJ517" i="1"/>
  <c r="AJ836" i="1"/>
  <c r="AJ692" i="1"/>
  <c r="AJ509" i="1"/>
  <c r="AJ282" i="1"/>
  <c r="AJ539" i="1"/>
  <c r="AJ302" i="1"/>
  <c r="AJ845" i="1"/>
  <c r="AJ292" i="1"/>
  <c r="AJ835" i="1"/>
  <c r="AJ691" i="1"/>
  <c r="AJ499" i="1"/>
  <c r="AJ276" i="1"/>
  <c r="AJ557" i="1"/>
  <c r="AJ12" i="1"/>
  <c r="AJ789" i="1"/>
  <c r="AJ645" i="1"/>
  <c r="AJ434" i="1"/>
  <c r="AJ196" i="1"/>
  <c r="AJ3" i="1"/>
  <c r="AJ784" i="1"/>
  <c r="AJ640" i="1"/>
  <c r="AJ433" i="1"/>
  <c r="AJ195" i="1"/>
  <c r="AJ861" i="1"/>
  <c r="AJ318" i="1"/>
  <c r="AJ707" i="1"/>
  <c r="AJ933" i="1"/>
  <c r="AJ779" i="1"/>
  <c r="AJ635" i="1"/>
  <c r="AJ415" i="1"/>
  <c r="AJ180" i="1"/>
  <c r="AJ856" i="1"/>
  <c r="AJ851" i="1"/>
  <c r="AJ921" i="1"/>
  <c r="AJ773" i="1"/>
  <c r="AJ629" i="1"/>
  <c r="AJ410" i="1"/>
  <c r="AJ170" i="1"/>
  <c r="AJ911" i="1"/>
  <c r="AJ764" i="1"/>
  <c r="AJ620" i="1"/>
  <c r="AJ401" i="1"/>
  <c r="AJ160" i="1"/>
  <c r="AJ317" i="1"/>
  <c r="AJ910" i="1"/>
  <c r="AJ763" i="1"/>
  <c r="AJ619" i="1"/>
  <c r="AJ391" i="1"/>
  <c r="AJ149" i="1"/>
  <c r="AJ60" i="1"/>
  <c r="AJ55" i="1"/>
  <c r="AK867" i="1"/>
  <c r="AK660" i="1"/>
  <c r="AK500" i="1"/>
  <c r="AJ894" i="1"/>
  <c r="AJ820" i="1"/>
  <c r="AJ748" i="1"/>
  <c r="AJ676" i="1"/>
  <c r="AJ599" i="1"/>
  <c r="AJ485" i="1"/>
  <c r="AJ377" i="1"/>
  <c r="AJ256" i="1"/>
  <c r="AJ134" i="1"/>
  <c r="AK494" i="1"/>
  <c r="AK422" i="1"/>
  <c r="AJ899" i="1"/>
  <c r="AJ825" i="1"/>
  <c r="AJ753" i="1"/>
  <c r="AJ681" i="1"/>
  <c r="AJ604" i="1"/>
  <c r="AJ486" i="1"/>
  <c r="AJ378" i="1"/>
  <c r="AJ135" i="1"/>
  <c r="AJ892" i="1"/>
  <c r="AJ815" i="1"/>
  <c r="AJ743" i="1"/>
  <c r="AJ671" i="1"/>
  <c r="AJ593" i="1"/>
  <c r="AJ471" i="1"/>
  <c r="AJ114" i="1"/>
  <c r="AJ882" i="1"/>
  <c r="AJ809" i="1"/>
  <c r="AJ737" i="1"/>
  <c r="AJ665" i="1"/>
  <c r="AJ584" i="1"/>
  <c r="AJ462" i="1"/>
  <c r="AJ353" i="1"/>
  <c r="AJ231" i="1"/>
  <c r="AJ109" i="1"/>
  <c r="AK420" i="1"/>
  <c r="AJ241" i="1"/>
  <c r="AJ23" i="1"/>
  <c r="AJ872" i="1"/>
  <c r="AJ800" i="1"/>
  <c r="AJ728" i="1"/>
  <c r="AJ656" i="1"/>
  <c r="AJ583" i="1"/>
  <c r="AJ457" i="1"/>
  <c r="AJ348" i="1"/>
  <c r="AJ221" i="1"/>
  <c r="AJ96" i="1"/>
  <c r="AK350" i="1"/>
  <c r="AJ257" i="1"/>
  <c r="AJ363" i="1"/>
  <c r="AJ22" i="1"/>
  <c r="AJ871" i="1"/>
  <c r="AJ799" i="1"/>
  <c r="AJ727" i="1"/>
  <c r="AJ655" i="1"/>
  <c r="AJ565" i="1"/>
  <c r="AJ447" i="1"/>
  <c r="AJ337" i="1"/>
  <c r="AJ210" i="1"/>
  <c r="AJ78" i="1"/>
  <c r="AK326" i="1"/>
  <c r="AK249" i="1"/>
  <c r="AK152" i="1"/>
  <c r="AK865" i="1"/>
  <c r="AK648" i="1"/>
  <c r="AK248" i="1"/>
  <c r="AK134" i="1"/>
  <c r="AJ21" i="1"/>
  <c r="AJ932" i="1"/>
  <c r="AJ909" i="1"/>
  <c r="AJ887" i="1"/>
  <c r="AJ870" i="1"/>
  <c r="AJ850" i="1"/>
  <c r="AJ834" i="1"/>
  <c r="AJ814" i="1"/>
  <c r="AJ798" i="1"/>
  <c r="AJ778" i="1"/>
  <c r="AJ762" i="1"/>
  <c r="AJ742" i="1"/>
  <c r="AJ726" i="1"/>
  <c r="AJ706" i="1"/>
  <c r="AJ690" i="1"/>
  <c r="AJ670" i="1"/>
  <c r="AJ654" i="1"/>
  <c r="AJ634" i="1"/>
  <c r="AJ618" i="1"/>
  <c r="AJ598" i="1"/>
  <c r="AJ582" i="1"/>
  <c r="AJ556" i="1"/>
  <c r="AJ534" i="1"/>
  <c r="AJ508" i="1"/>
  <c r="AJ484" i="1"/>
  <c r="AJ456" i="1"/>
  <c r="AJ432" i="1"/>
  <c r="AJ400" i="1"/>
  <c r="AJ376" i="1"/>
  <c r="AJ342" i="1"/>
  <c r="AJ316" i="1"/>
  <c r="AJ281" i="1"/>
  <c r="AJ255" i="1"/>
  <c r="AJ220" i="1"/>
  <c r="AJ194" i="1"/>
  <c r="AJ159" i="1"/>
  <c r="AJ133" i="1"/>
  <c r="AJ94" i="1"/>
  <c r="AJ54" i="1"/>
  <c r="AK830" i="1"/>
  <c r="AK622" i="1"/>
  <c r="AK493" i="1"/>
  <c r="AK417" i="1"/>
  <c r="AK322" i="1"/>
  <c r="AK236" i="1"/>
  <c r="AK130" i="1"/>
  <c r="AJ16" i="1"/>
  <c r="AJ931" i="1"/>
  <c r="AJ908" i="1"/>
  <c r="AJ886" i="1"/>
  <c r="AJ869" i="1"/>
  <c r="AJ849" i="1"/>
  <c r="AJ833" i="1"/>
  <c r="AJ813" i="1"/>
  <c r="AJ797" i="1"/>
  <c r="AJ777" i="1"/>
  <c r="AJ761" i="1"/>
  <c r="AJ741" i="1"/>
  <c r="AJ725" i="1"/>
  <c r="AJ705" i="1"/>
  <c r="AJ689" i="1"/>
  <c r="AJ669" i="1"/>
  <c r="AJ653" i="1"/>
  <c r="AJ633" i="1"/>
  <c r="AJ617" i="1"/>
  <c r="AJ597" i="1"/>
  <c r="AJ581" i="1"/>
  <c r="AJ555" i="1"/>
  <c r="AJ533" i="1"/>
  <c r="AJ507" i="1"/>
  <c r="AJ483" i="1"/>
  <c r="AJ451" i="1"/>
  <c r="AJ427" i="1"/>
  <c r="AJ399" i="1"/>
  <c r="AJ375" i="1"/>
  <c r="AJ341" i="1"/>
  <c r="AJ315" i="1"/>
  <c r="AJ280" i="1"/>
  <c r="AJ254" i="1"/>
  <c r="AJ219" i="1"/>
  <c r="AJ193" i="1"/>
  <c r="AJ158" i="1"/>
  <c r="AJ132" i="1"/>
  <c r="AJ91" i="1"/>
  <c r="AJ48" i="1"/>
  <c r="AK828" i="1"/>
  <c r="AK620" i="1"/>
  <c r="AK492" i="1"/>
  <c r="AK416" i="1"/>
  <c r="AK321" i="1"/>
  <c r="AK212" i="1"/>
  <c r="AK129" i="1"/>
  <c r="AJ15" i="1"/>
  <c r="AJ930" i="1"/>
  <c r="AJ907" i="1"/>
  <c r="AJ885" i="1"/>
  <c r="AJ868" i="1"/>
  <c r="AJ848" i="1"/>
  <c r="AJ832" i="1"/>
  <c r="AJ812" i="1"/>
  <c r="AJ796" i="1"/>
  <c r="AJ776" i="1"/>
  <c r="AJ760" i="1"/>
  <c r="AJ740" i="1"/>
  <c r="AJ724" i="1"/>
  <c r="AJ704" i="1"/>
  <c r="AJ688" i="1"/>
  <c r="AJ668" i="1"/>
  <c r="AJ652" i="1"/>
  <c r="AJ632" i="1"/>
  <c r="AJ616" i="1"/>
  <c r="AJ596" i="1"/>
  <c r="AJ580" i="1"/>
  <c r="AJ554" i="1"/>
  <c r="AJ532" i="1"/>
  <c r="AJ506" i="1"/>
  <c r="AJ482" i="1"/>
  <c r="AJ450" i="1"/>
  <c r="AJ426" i="1"/>
  <c r="AJ398" i="1"/>
  <c r="AJ374" i="1"/>
  <c r="AJ340" i="1"/>
  <c r="AJ314" i="1"/>
  <c r="AJ279" i="1"/>
  <c r="AJ253" i="1"/>
  <c r="AJ218" i="1"/>
  <c r="AJ192" i="1"/>
  <c r="AJ157" i="1"/>
  <c r="AJ126" i="1"/>
  <c r="AJ90" i="1"/>
  <c r="AJ43" i="1"/>
  <c r="AK793" i="1"/>
  <c r="AK609" i="1"/>
  <c r="AK470" i="1"/>
  <c r="AK404" i="1"/>
  <c r="AK308" i="1"/>
  <c r="AK206" i="1"/>
  <c r="AK128" i="1"/>
  <c r="AJ14" i="1"/>
  <c r="AJ928" i="1"/>
  <c r="AJ906" i="1"/>
  <c r="AJ884" i="1"/>
  <c r="AJ863" i="1"/>
  <c r="AJ847" i="1"/>
  <c r="AJ827" i="1"/>
  <c r="AJ811" i="1"/>
  <c r="AJ791" i="1"/>
  <c r="AJ775" i="1"/>
  <c r="AJ755" i="1"/>
  <c r="AJ739" i="1"/>
  <c r="AJ719" i="1"/>
  <c r="AJ703" i="1"/>
  <c r="AJ683" i="1"/>
  <c r="AJ667" i="1"/>
  <c r="AJ647" i="1"/>
  <c r="AJ631" i="1"/>
  <c r="AJ611" i="1"/>
  <c r="AJ595" i="1"/>
  <c r="AJ575" i="1"/>
  <c r="AJ553" i="1"/>
  <c r="AJ527" i="1"/>
  <c r="AJ505" i="1"/>
  <c r="AJ473" i="1"/>
  <c r="AJ449" i="1"/>
  <c r="AJ421" i="1"/>
  <c r="AJ397" i="1"/>
  <c r="AJ365" i="1"/>
  <c r="AJ339" i="1"/>
  <c r="AJ304" i="1"/>
  <c r="AJ278" i="1"/>
  <c r="AJ243" i="1"/>
  <c r="AJ217" i="1"/>
  <c r="AJ182" i="1"/>
  <c r="AJ156" i="1"/>
  <c r="AJ121" i="1"/>
  <c r="AJ84" i="1"/>
  <c r="AJ38" i="1"/>
  <c r="AK790" i="1"/>
  <c r="AK585" i="1"/>
  <c r="AK469" i="1"/>
  <c r="AK398" i="1"/>
  <c r="AK302" i="1"/>
  <c r="AK202" i="1"/>
  <c r="AJ13" i="1"/>
  <c r="AJ922" i="1"/>
  <c r="AJ904" i="1"/>
  <c r="AJ883" i="1"/>
  <c r="AJ862" i="1"/>
  <c r="AJ846" i="1"/>
  <c r="AJ826" i="1"/>
  <c r="AJ810" i="1"/>
  <c r="AJ790" i="1"/>
  <c r="AJ774" i="1"/>
  <c r="AJ754" i="1"/>
  <c r="AJ738" i="1"/>
  <c r="AJ718" i="1"/>
  <c r="AJ702" i="1"/>
  <c r="AJ682" i="1"/>
  <c r="AJ666" i="1"/>
  <c r="AJ646" i="1"/>
  <c r="AJ630" i="1"/>
  <c r="AJ610" i="1"/>
  <c r="AJ594" i="1"/>
  <c r="AJ571" i="1"/>
  <c r="AJ552" i="1"/>
  <c r="AJ523" i="1"/>
  <c r="AJ504" i="1"/>
  <c r="AJ472" i="1"/>
  <c r="AJ448" i="1"/>
  <c r="AJ420" i="1"/>
  <c r="AJ396" i="1"/>
  <c r="AJ364" i="1"/>
  <c r="AJ338" i="1"/>
  <c r="AJ303" i="1"/>
  <c r="AJ277" i="1"/>
  <c r="AJ242" i="1"/>
  <c r="AJ216" i="1"/>
  <c r="AJ181" i="1"/>
  <c r="AJ150" i="1"/>
  <c r="AJ120" i="1"/>
  <c r="AJ79" i="1"/>
  <c r="AJ28" i="1"/>
  <c r="AK765" i="1"/>
  <c r="AK579" i="1"/>
  <c r="AK468" i="1"/>
  <c r="AK380" i="1"/>
  <c r="AK298" i="1"/>
  <c r="AK200" i="1"/>
  <c r="AK82" i="1"/>
  <c r="AK753" i="1"/>
  <c r="AK578" i="1"/>
  <c r="AK465" i="1"/>
  <c r="AK374" i="1"/>
  <c r="AK297" i="1"/>
  <c r="AK188" i="1"/>
  <c r="AK81" i="1"/>
  <c r="AK514" i="1"/>
  <c r="AK728" i="1"/>
  <c r="AK548" i="1"/>
  <c r="AK464" i="1"/>
  <c r="AK372" i="1"/>
  <c r="AK273" i="1"/>
  <c r="AK182" i="1"/>
  <c r="AK68" i="1"/>
  <c r="AJ551" i="1"/>
  <c r="AJ27" i="1"/>
  <c r="AJ11" i="1"/>
  <c r="AJ920" i="1"/>
  <c r="AJ898" i="1"/>
  <c r="AJ880" i="1"/>
  <c r="AJ860" i="1"/>
  <c r="AJ844" i="1"/>
  <c r="AJ824" i="1"/>
  <c r="AJ808" i="1"/>
  <c r="AJ788" i="1"/>
  <c r="AJ772" i="1"/>
  <c r="AJ752" i="1"/>
  <c r="AJ736" i="1"/>
  <c r="AJ716" i="1"/>
  <c r="AJ700" i="1"/>
  <c r="AJ680" i="1"/>
  <c r="AJ664" i="1"/>
  <c r="AJ644" i="1"/>
  <c r="AJ628" i="1"/>
  <c r="AJ608" i="1"/>
  <c r="AJ592" i="1"/>
  <c r="AJ569" i="1"/>
  <c r="AJ547" i="1"/>
  <c r="AJ521" i="1"/>
  <c r="AJ498" i="1"/>
  <c r="AJ470" i="1"/>
  <c r="AJ446" i="1"/>
  <c r="AJ414" i="1"/>
  <c r="AJ390" i="1"/>
  <c r="AJ362" i="1"/>
  <c r="AJ336" i="1"/>
  <c r="AJ301" i="1"/>
  <c r="AJ270" i="1"/>
  <c r="AJ240" i="1"/>
  <c r="AJ209" i="1"/>
  <c r="AJ174" i="1"/>
  <c r="AJ77" i="1"/>
  <c r="AJ26" i="1"/>
  <c r="AJ10" i="1"/>
  <c r="AJ919" i="1"/>
  <c r="AJ897" i="1"/>
  <c r="AJ875" i="1"/>
  <c r="AJ859" i="1"/>
  <c r="AJ839" i="1"/>
  <c r="AJ823" i="1"/>
  <c r="AJ803" i="1"/>
  <c r="AJ787" i="1"/>
  <c r="AJ767" i="1"/>
  <c r="AJ751" i="1"/>
  <c r="AJ731" i="1"/>
  <c r="AJ715" i="1"/>
  <c r="AJ695" i="1"/>
  <c r="AJ679" i="1"/>
  <c r="AJ659" i="1"/>
  <c r="AJ643" i="1"/>
  <c r="AJ623" i="1"/>
  <c r="AJ607" i="1"/>
  <c r="AJ587" i="1"/>
  <c r="AJ568" i="1"/>
  <c r="AJ542" i="1"/>
  <c r="AJ520" i="1"/>
  <c r="AJ493" i="1"/>
  <c r="AJ469" i="1"/>
  <c r="AJ437" i="1"/>
  <c r="AJ413" i="1"/>
  <c r="AJ385" i="1"/>
  <c r="AJ361" i="1"/>
  <c r="AJ326" i="1"/>
  <c r="AJ300" i="1"/>
  <c r="AJ265" i="1"/>
  <c r="AJ234" i="1"/>
  <c r="AJ204" i="1"/>
  <c r="AJ173" i="1"/>
  <c r="AJ138" i="1"/>
  <c r="AJ112" i="1"/>
  <c r="AJ63" i="1"/>
  <c r="AK933" i="1"/>
  <c r="AK722" i="1"/>
  <c r="AK541" i="1"/>
  <c r="AK452" i="1"/>
  <c r="AK369" i="1"/>
  <c r="AK272" i="1"/>
  <c r="AK178" i="1"/>
  <c r="AK58" i="1"/>
  <c r="AJ570" i="1"/>
  <c r="AJ113" i="1"/>
  <c r="AJ25" i="1"/>
  <c r="AJ9" i="1"/>
  <c r="AJ918" i="1"/>
  <c r="AJ896" i="1"/>
  <c r="AJ874" i="1"/>
  <c r="AJ858" i="1"/>
  <c r="AJ838" i="1"/>
  <c r="AJ822" i="1"/>
  <c r="AJ802" i="1"/>
  <c r="AJ786" i="1"/>
  <c r="AJ766" i="1"/>
  <c r="AJ750" i="1"/>
  <c r="AJ730" i="1"/>
  <c r="AJ714" i="1"/>
  <c r="AJ694" i="1"/>
  <c r="AJ678" i="1"/>
  <c r="AJ658" i="1"/>
  <c r="AJ642" i="1"/>
  <c r="AJ622" i="1"/>
  <c r="AJ606" i="1"/>
  <c r="AJ586" i="1"/>
  <c r="AJ567" i="1"/>
  <c r="AJ541" i="1"/>
  <c r="AJ519" i="1"/>
  <c r="AJ492" i="1"/>
  <c r="AJ468" i="1"/>
  <c r="AJ436" i="1"/>
  <c r="AJ412" i="1"/>
  <c r="AJ384" i="1"/>
  <c r="AJ360" i="1"/>
  <c r="AJ325" i="1"/>
  <c r="AJ294" i="1"/>
  <c r="AJ264" i="1"/>
  <c r="AJ233" i="1"/>
  <c r="AJ198" i="1"/>
  <c r="AJ172" i="1"/>
  <c r="AJ137" i="1"/>
  <c r="AJ111" i="1"/>
  <c r="AJ62" i="1"/>
  <c r="AK908" i="1"/>
  <c r="AK687" i="1"/>
  <c r="AK540" i="1"/>
  <c r="AK446" i="1"/>
  <c r="AK368" i="1"/>
  <c r="AK260" i="1"/>
  <c r="AK154" i="1"/>
  <c r="AK57" i="1"/>
  <c r="AJ609" i="1"/>
  <c r="AJ522" i="1"/>
  <c r="AJ148" i="1"/>
  <c r="AJ24" i="1"/>
  <c r="AJ4" i="1"/>
  <c r="AJ916" i="1"/>
  <c r="AJ895" i="1"/>
  <c r="AJ873" i="1"/>
  <c r="AJ857" i="1"/>
  <c r="AJ837" i="1"/>
  <c r="AJ821" i="1"/>
  <c r="AJ801" i="1"/>
  <c r="AJ785" i="1"/>
  <c r="AJ765" i="1"/>
  <c r="AJ749" i="1"/>
  <c r="AJ729" i="1"/>
  <c r="AJ713" i="1"/>
  <c r="AJ693" i="1"/>
  <c r="AJ677" i="1"/>
  <c r="AJ657" i="1"/>
  <c r="AJ641" i="1"/>
  <c r="AJ621" i="1"/>
  <c r="AJ605" i="1"/>
  <c r="AJ585" i="1"/>
  <c r="AJ566" i="1"/>
  <c r="AJ540" i="1"/>
  <c r="AJ518" i="1"/>
  <c r="AJ487" i="1"/>
  <c r="AJ463" i="1"/>
  <c r="AJ435" i="1"/>
  <c r="AJ411" i="1"/>
  <c r="AJ379" i="1"/>
  <c r="AJ354" i="1"/>
  <c r="AJ324" i="1"/>
  <c r="AJ293" i="1"/>
  <c r="AJ258" i="1"/>
  <c r="AJ232" i="1"/>
  <c r="AJ197" i="1"/>
  <c r="AJ171" i="1"/>
  <c r="AJ136" i="1"/>
  <c r="AJ110" i="1"/>
  <c r="AJ61" i="1"/>
  <c r="AK896" i="1"/>
  <c r="AK685" i="1"/>
  <c r="AK513" i="1"/>
  <c r="AK428" i="1"/>
  <c r="AK356" i="1"/>
  <c r="AK250" i="1"/>
  <c r="AK153" i="1"/>
  <c r="AK56" i="1"/>
  <c r="AJ923" i="1"/>
  <c r="AK910" i="1"/>
  <c r="AK873" i="1"/>
  <c r="AK836" i="1"/>
  <c r="AK805" i="1"/>
  <c r="AK768" i="1"/>
  <c r="AK730" i="1"/>
  <c r="AK699" i="1"/>
  <c r="AK662" i="1"/>
  <c r="AK625" i="1"/>
  <c r="AK588" i="1"/>
  <c r="AK560" i="1"/>
  <c r="AK516" i="1"/>
  <c r="AK909" i="1"/>
  <c r="AK872" i="1"/>
  <c r="AK831" i="1"/>
  <c r="AK804" i="1"/>
  <c r="AK766" i="1"/>
  <c r="AK729" i="1"/>
  <c r="AK692" i="1"/>
  <c r="AK661" i="1"/>
  <c r="AK624" i="1"/>
  <c r="AK586" i="1"/>
  <c r="AK555" i="1"/>
  <c r="Y2" i="1"/>
  <c r="AJ2" i="1" s="1"/>
  <c r="AK3" i="1"/>
  <c r="AK15" i="1"/>
  <c r="AK27" i="1"/>
  <c r="AK39" i="1"/>
  <c r="AK51" i="1"/>
  <c r="AK63" i="1"/>
  <c r="AK75" i="1"/>
  <c r="AK87" i="1"/>
  <c r="AK99" i="1"/>
  <c r="AK111" i="1"/>
  <c r="AK123" i="1"/>
  <c r="AK135" i="1"/>
  <c r="AK147" i="1"/>
  <c r="AK159" i="1"/>
  <c r="AK171" i="1"/>
  <c r="AK183" i="1"/>
  <c r="AK195" i="1"/>
  <c r="AK207" i="1"/>
  <c r="AK219" i="1"/>
  <c r="AK231" i="1"/>
  <c r="AK243" i="1"/>
  <c r="AK255" i="1"/>
  <c r="AK267" i="1"/>
  <c r="AK279" i="1"/>
  <c r="AK291" i="1"/>
  <c r="AK303" i="1"/>
  <c r="AK315" i="1"/>
  <c r="AK327" i="1"/>
  <c r="AK339" i="1"/>
  <c r="AK351" i="1"/>
  <c r="AK363" i="1"/>
  <c r="AK375" i="1"/>
  <c r="AK387" i="1"/>
  <c r="AK399" i="1"/>
  <c r="AK411" i="1"/>
  <c r="AK423" i="1"/>
  <c r="AK435" i="1"/>
  <c r="AK447" i="1"/>
  <c r="AK459" i="1"/>
  <c r="AK471" i="1"/>
  <c r="AK483" i="1"/>
  <c r="AK495" i="1"/>
  <c r="AK507" i="1"/>
  <c r="AK519" i="1"/>
  <c r="AK531" i="1"/>
  <c r="AK543" i="1"/>
  <c r="AK4" i="1"/>
  <c r="AK16" i="1"/>
  <c r="AK28" i="1"/>
  <c r="AK40" i="1"/>
  <c r="AK52" i="1"/>
  <c r="AK64" i="1"/>
  <c r="AK76" i="1"/>
  <c r="AK88" i="1"/>
  <c r="AK100" i="1"/>
  <c r="AK112" i="1"/>
  <c r="AK124" i="1"/>
  <c r="AK136" i="1"/>
  <c r="AK148" i="1"/>
  <c r="AK160" i="1"/>
  <c r="AK172" i="1"/>
  <c r="AK184" i="1"/>
  <c r="AK196" i="1"/>
  <c r="AK208" i="1"/>
  <c r="AK220" i="1"/>
  <c r="AK232" i="1"/>
  <c r="AK244" i="1"/>
  <c r="AK256" i="1"/>
  <c r="AK268" i="1"/>
  <c r="AK280" i="1"/>
  <c r="AK292" i="1"/>
  <c r="AK304" i="1"/>
  <c r="AK316" i="1"/>
  <c r="AK328" i="1"/>
  <c r="AK340" i="1"/>
  <c r="AK352" i="1"/>
  <c r="AK364" i="1"/>
  <c r="AK376" i="1"/>
  <c r="AK388" i="1"/>
  <c r="AK400" i="1"/>
  <c r="AK412" i="1"/>
  <c r="AK424" i="1"/>
  <c r="AK436" i="1"/>
  <c r="AK448" i="1"/>
  <c r="AK460" i="1"/>
  <c r="AK472" i="1"/>
  <c r="AK484" i="1"/>
  <c r="AK496" i="1"/>
  <c r="AK508" i="1"/>
  <c r="AK520" i="1"/>
  <c r="AK532" i="1"/>
  <c r="AK544" i="1"/>
  <c r="AK556" i="1"/>
  <c r="AK568" i="1"/>
  <c r="AK580" i="1"/>
  <c r="AK592" i="1"/>
  <c r="AK604" i="1"/>
  <c r="AK616" i="1"/>
  <c r="AK628" i="1"/>
  <c r="AK640" i="1"/>
  <c r="AK652" i="1"/>
  <c r="AK664" i="1"/>
  <c r="AK676" i="1"/>
  <c r="AK688" i="1"/>
  <c r="AK700" i="1"/>
  <c r="AK712" i="1"/>
  <c r="AK724" i="1"/>
  <c r="AK736" i="1"/>
  <c r="AK748" i="1"/>
  <c r="AK760" i="1"/>
  <c r="AK772" i="1"/>
  <c r="AK784" i="1"/>
  <c r="AK796" i="1"/>
  <c r="AK808" i="1"/>
  <c r="AK820" i="1"/>
  <c r="AK832" i="1"/>
  <c r="AK844" i="1"/>
  <c r="AK856" i="1"/>
  <c r="AK868" i="1"/>
  <c r="AK880" i="1"/>
  <c r="AK892" i="1"/>
  <c r="AK904" i="1"/>
  <c r="AK916" i="1"/>
  <c r="AK928" i="1"/>
  <c r="AJ104" i="1"/>
  <c r="AK5" i="1"/>
  <c r="AK17" i="1"/>
  <c r="AK29" i="1"/>
  <c r="AK41" i="1"/>
  <c r="AK53" i="1"/>
  <c r="AK65" i="1"/>
  <c r="AK77" i="1"/>
  <c r="AK89" i="1"/>
  <c r="AK101" i="1"/>
  <c r="AK113" i="1"/>
  <c r="AK125" i="1"/>
  <c r="AK137" i="1"/>
  <c r="AK149" i="1"/>
  <c r="AK161" i="1"/>
  <c r="AK173" i="1"/>
  <c r="AK185" i="1"/>
  <c r="AK197" i="1"/>
  <c r="AK209" i="1"/>
  <c r="AK221" i="1"/>
  <c r="AK233" i="1"/>
  <c r="AK245" i="1"/>
  <c r="AK257" i="1"/>
  <c r="AK269" i="1"/>
  <c r="AK281" i="1"/>
  <c r="AK293" i="1"/>
  <c r="AK305" i="1"/>
  <c r="AK317" i="1"/>
  <c r="AK329" i="1"/>
  <c r="AK341" i="1"/>
  <c r="AK353" i="1"/>
  <c r="AK365" i="1"/>
  <c r="AK377" i="1"/>
  <c r="AK389" i="1"/>
  <c r="AK401" i="1"/>
  <c r="AK413" i="1"/>
  <c r="AK425" i="1"/>
  <c r="AK437" i="1"/>
  <c r="AK449" i="1"/>
  <c r="AK461" i="1"/>
  <c r="AK473" i="1"/>
  <c r="AK485" i="1"/>
  <c r="AK497" i="1"/>
  <c r="AK509" i="1"/>
  <c r="AK521" i="1"/>
  <c r="AK533" i="1"/>
  <c r="AK545" i="1"/>
  <c r="AK557" i="1"/>
  <c r="AK569" i="1"/>
  <c r="AK581" i="1"/>
  <c r="AK593" i="1"/>
  <c r="AK605" i="1"/>
  <c r="AK617" i="1"/>
  <c r="AK629" i="1"/>
  <c r="AK641" i="1"/>
  <c r="AK653" i="1"/>
  <c r="AK665" i="1"/>
  <c r="AK677" i="1"/>
  <c r="AK689" i="1"/>
  <c r="AK701" i="1"/>
  <c r="AK713" i="1"/>
  <c r="AK725" i="1"/>
  <c r="AK737" i="1"/>
  <c r="AK749" i="1"/>
  <c r="AK761" i="1"/>
  <c r="AK773" i="1"/>
  <c r="AK785" i="1"/>
  <c r="AK797" i="1"/>
  <c r="AK809" i="1"/>
  <c r="AK821" i="1"/>
  <c r="AK833" i="1"/>
  <c r="AK845" i="1"/>
  <c r="AK857" i="1"/>
  <c r="AK869" i="1"/>
  <c r="AK881" i="1"/>
  <c r="AK893" i="1"/>
  <c r="AK905" i="1"/>
  <c r="AK917" i="1"/>
  <c r="AK929" i="1"/>
  <c r="AK6" i="1"/>
  <c r="AK18" i="1"/>
  <c r="AK30" i="1"/>
  <c r="AK42" i="1"/>
  <c r="AK54" i="1"/>
  <c r="AK66" i="1"/>
  <c r="AK78" i="1"/>
  <c r="AK90" i="1"/>
  <c r="AK102" i="1"/>
  <c r="AK114" i="1"/>
  <c r="AK126" i="1"/>
  <c r="AK138" i="1"/>
  <c r="AK150" i="1"/>
  <c r="AK162" i="1"/>
  <c r="AK174" i="1"/>
  <c r="AK186" i="1"/>
  <c r="AK198" i="1"/>
  <c r="AK210" i="1"/>
  <c r="AK222" i="1"/>
  <c r="AK234" i="1"/>
  <c r="AK246" i="1"/>
  <c r="AK258" i="1"/>
  <c r="AK270" i="1"/>
  <c r="AK282" i="1"/>
  <c r="AK294" i="1"/>
  <c r="AK306" i="1"/>
  <c r="AK318" i="1"/>
  <c r="AK330" i="1"/>
  <c r="AK342" i="1"/>
  <c r="AK354" i="1"/>
  <c r="AK366" i="1"/>
  <c r="AK378" i="1"/>
  <c r="AK390" i="1"/>
  <c r="AK402" i="1"/>
  <c r="AK414" i="1"/>
  <c r="AK426" i="1"/>
  <c r="AK438" i="1"/>
  <c r="AK450" i="1"/>
  <c r="AK462" i="1"/>
  <c r="AK474" i="1"/>
  <c r="AK486" i="1"/>
  <c r="AK498" i="1"/>
  <c r="AK510" i="1"/>
  <c r="AK522" i="1"/>
  <c r="AK534" i="1"/>
  <c r="AK546" i="1"/>
  <c r="AK558" i="1"/>
  <c r="AK570" i="1"/>
  <c r="AK582" i="1"/>
  <c r="AK594" i="1"/>
  <c r="AK606" i="1"/>
  <c r="AK618" i="1"/>
  <c r="AK630" i="1"/>
  <c r="AK642" i="1"/>
  <c r="AK654" i="1"/>
  <c r="AK666" i="1"/>
  <c r="AK678" i="1"/>
  <c r="AK690" i="1"/>
  <c r="AK702" i="1"/>
  <c r="AK714" i="1"/>
  <c r="AK726" i="1"/>
  <c r="AK738" i="1"/>
  <c r="AK750" i="1"/>
  <c r="AK762" i="1"/>
  <c r="AK774" i="1"/>
  <c r="AK786" i="1"/>
  <c r="AK798" i="1"/>
  <c r="AK810" i="1"/>
  <c r="AK822" i="1"/>
  <c r="AK834" i="1"/>
  <c r="AK846" i="1"/>
  <c r="AK858" i="1"/>
  <c r="AK870" i="1"/>
  <c r="AK882" i="1"/>
  <c r="AK894" i="1"/>
  <c r="AK906" i="1"/>
  <c r="AK918" i="1"/>
  <c r="AK930" i="1"/>
  <c r="AJ82" i="1"/>
  <c r="AK7" i="1"/>
  <c r="AK19" i="1"/>
  <c r="AK31" i="1"/>
  <c r="AK43" i="1"/>
  <c r="AK55" i="1"/>
  <c r="AK67" i="1"/>
  <c r="AK79" i="1"/>
  <c r="AK91" i="1"/>
  <c r="AK103" i="1"/>
  <c r="AK115" i="1"/>
  <c r="AK127" i="1"/>
  <c r="AK139" i="1"/>
  <c r="AK151" i="1"/>
  <c r="AK163" i="1"/>
  <c r="AK175" i="1"/>
  <c r="AK187" i="1"/>
  <c r="AK199" i="1"/>
  <c r="AK211" i="1"/>
  <c r="AK223" i="1"/>
  <c r="AK235" i="1"/>
  <c r="AK247" i="1"/>
  <c r="AK259" i="1"/>
  <c r="AK271" i="1"/>
  <c r="AK283" i="1"/>
  <c r="AK295" i="1"/>
  <c r="AK307" i="1"/>
  <c r="AK319" i="1"/>
  <c r="AK331" i="1"/>
  <c r="AK343" i="1"/>
  <c r="AK355" i="1"/>
  <c r="AK367" i="1"/>
  <c r="AK379" i="1"/>
  <c r="AK391" i="1"/>
  <c r="AK403" i="1"/>
  <c r="AK415" i="1"/>
  <c r="AK427" i="1"/>
  <c r="AK439" i="1"/>
  <c r="AK451" i="1"/>
  <c r="AK463" i="1"/>
  <c r="AK475" i="1"/>
  <c r="AK487" i="1"/>
  <c r="AK499" i="1"/>
  <c r="AK511" i="1"/>
  <c r="AK523" i="1"/>
  <c r="AK535" i="1"/>
  <c r="AK547" i="1"/>
  <c r="AK559" i="1"/>
  <c r="AK571" i="1"/>
  <c r="AK583" i="1"/>
  <c r="AK595" i="1"/>
  <c r="AK607" i="1"/>
  <c r="AK619" i="1"/>
  <c r="AK631" i="1"/>
  <c r="AK643" i="1"/>
  <c r="AK655" i="1"/>
  <c r="AK667" i="1"/>
  <c r="AK679" i="1"/>
  <c r="AK691" i="1"/>
  <c r="AK703" i="1"/>
  <c r="AK715" i="1"/>
  <c r="AK727" i="1"/>
  <c r="AK739" i="1"/>
  <c r="AK751" i="1"/>
  <c r="AK763" i="1"/>
  <c r="AK775" i="1"/>
  <c r="AK787" i="1"/>
  <c r="AK799" i="1"/>
  <c r="AK811" i="1"/>
  <c r="AK823" i="1"/>
  <c r="AK835" i="1"/>
  <c r="AK847" i="1"/>
  <c r="AK859" i="1"/>
  <c r="AK871" i="1"/>
  <c r="AK883" i="1"/>
  <c r="AK895" i="1"/>
  <c r="AK907" i="1"/>
  <c r="AK919" i="1"/>
  <c r="AK931" i="1"/>
  <c r="AK8" i="1"/>
  <c r="AK9" i="1"/>
  <c r="AK10" i="1"/>
  <c r="AK11" i="1"/>
  <c r="AK23" i="1"/>
  <c r="AK35" i="1"/>
  <c r="AK47" i="1"/>
  <c r="AK59" i="1"/>
  <c r="AK71" i="1"/>
  <c r="AK83" i="1"/>
  <c r="AK95" i="1"/>
  <c r="AK107" i="1"/>
  <c r="AK119" i="1"/>
  <c r="AK131" i="1"/>
  <c r="AK143" i="1"/>
  <c r="AK155" i="1"/>
  <c r="AK167" i="1"/>
  <c r="AK179" i="1"/>
  <c r="AK191" i="1"/>
  <c r="AK203" i="1"/>
  <c r="AK215" i="1"/>
  <c r="AK227" i="1"/>
  <c r="AK239" i="1"/>
  <c r="AK251" i="1"/>
  <c r="AK263" i="1"/>
  <c r="AK275" i="1"/>
  <c r="AK287" i="1"/>
  <c r="AK299" i="1"/>
  <c r="AK311" i="1"/>
  <c r="AK323" i="1"/>
  <c r="AK335" i="1"/>
  <c r="AK347" i="1"/>
  <c r="AK359" i="1"/>
  <c r="AK371" i="1"/>
  <c r="AK383" i="1"/>
  <c r="AK395" i="1"/>
  <c r="AK407" i="1"/>
  <c r="AK419" i="1"/>
  <c r="AK431" i="1"/>
  <c r="AK443" i="1"/>
  <c r="AK455" i="1"/>
  <c r="AK467" i="1"/>
  <c r="AK479" i="1"/>
  <c r="AK491" i="1"/>
  <c r="AK503" i="1"/>
  <c r="AK515" i="1"/>
  <c r="AK527" i="1"/>
  <c r="AK539" i="1"/>
  <c r="AK551" i="1"/>
  <c r="AK563" i="1"/>
  <c r="AK575" i="1"/>
  <c r="AK587" i="1"/>
  <c r="AK599" i="1"/>
  <c r="AK611" i="1"/>
  <c r="AK623" i="1"/>
  <c r="AK635" i="1"/>
  <c r="AK647" i="1"/>
  <c r="AK659" i="1"/>
  <c r="AK671" i="1"/>
  <c r="AK683" i="1"/>
  <c r="AK695" i="1"/>
  <c r="AK707" i="1"/>
  <c r="AK719" i="1"/>
  <c r="AK731" i="1"/>
  <c r="AK743" i="1"/>
  <c r="AK755" i="1"/>
  <c r="AK767" i="1"/>
  <c r="AK779" i="1"/>
  <c r="AK791" i="1"/>
  <c r="AK803" i="1"/>
  <c r="AK815" i="1"/>
  <c r="AK827" i="1"/>
  <c r="AK839" i="1"/>
  <c r="AK851" i="1"/>
  <c r="AK863" i="1"/>
  <c r="AK875" i="1"/>
  <c r="AK887" i="1"/>
  <c r="AK899" i="1"/>
  <c r="AK911" i="1"/>
  <c r="AK923" i="1"/>
  <c r="AK12" i="1"/>
  <c r="AK24" i="1"/>
  <c r="AK13" i="1"/>
  <c r="AK14" i="1"/>
  <c r="AK20" i="1"/>
  <c r="AK45" i="1"/>
  <c r="AK69" i="1"/>
  <c r="AK93" i="1"/>
  <c r="AK117" i="1"/>
  <c r="AK141" i="1"/>
  <c r="AK165" i="1"/>
  <c r="AK189" i="1"/>
  <c r="AK213" i="1"/>
  <c r="AK237" i="1"/>
  <c r="AK261" i="1"/>
  <c r="AK285" i="1"/>
  <c r="AK309" i="1"/>
  <c r="AK333" i="1"/>
  <c r="AK357" i="1"/>
  <c r="AK381" i="1"/>
  <c r="AK405" i="1"/>
  <c r="AK429" i="1"/>
  <c r="AK453" i="1"/>
  <c r="AK477" i="1"/>
  <c r="AK501" i="1"/>
  <c r="AK525" i="1"/>
  <c r="AK549" i="1"/>
  <c r="AK567" i="1"/>
  <c r="AK589" i="1"/>
  <c r="AK610" i="1"/>
  <c r="AK632" i="1"/>
  <c r="AK650" i="1"/>
  <c r="AK672" i="1"/>
  <c r="AK693" i="1"/>
  <c r="AK711" i="1"/>
  <c r="AK733" i="1"/>
  <c r="AK754" i="1"/>
  <c r="AK776" i="1"/>
  <c r="AK794" i="1"/>
  <c r="AK816" i="1"/>
  <c r="AK837" i="1"/>
  <c r="AK855" i="1"/>
  <c r="AK877" i="1"/>
  <c r="AK898" i="1"/>
  <c r="AK920" i="1"/>
  <c r="AJ29" i="1"/>
  <c r="AJ49" i="1"/>
  <c r="AJ65" i="1"/>
  <c r="AJ85" i="1"/>
  <c r="AJ100" i="1"/>
  <c r="AJ115" i="1"/>
  <c r="AJ127" i="1"/>
  <c r="AJ139" i="1"/>
  <c r="AJ151" i="1"/>
  <c r="AJ163" i="1"/>
  <c r="AJ175" i="1"/>
  <c r="AJ187" i="1"/>
  <c r="AJ199" i="1"/>
  <c r="AJ211" i="1"/>
  <c r="AJ223" i="1"/>
  <c r="AJ235" i="1"/>
  <c r="AJ247" i="1"/>
  <c r="AJ259" i="1"/>
  <c r="AJ271" i="1"/>
  <c r="AJ283" i="1"/>
  <c r="AJ295" i="1"/>
  <c r="AJ307" i="1"/>
  <c r="AJ319" i="1"/>
  <c r="AJ331" i="1"/>
  <c r="AJ343" i="1"/>
  <c r="AJ355" i="1"/>
  <c r="AK21" i="1"/>
  <c r="AK46" i="1"/>
  <c r="AK70" i="1"/>
  <c r="AK94" i="1"/>
  <c r="AK118" i="1"/>
  <c r="AK142" i="1"/>
  <c r="AK166" i="1"/>
  <c r="AK190" i="1"/>
  <c r="AK214" i="1"/>
  <c r="AK238" i="1"/>
  <c r="AK262" i="1"/>
  <c r="AK286" i="1"/>
  <c r="AK310" i="1"/>
  <c r="AK334" i="1"/>
  <c r="AK358" i="1"/>
  <c r="AK382" i="1"/>
  <c r="AK406" i="1"/>
  <c r="AK430" i="1"/>
  <c r="AK454" i="1"/>
  <c r="AK478" i="1"/>
  <c r="AK502" i="1"/>
  <c r="AK526" i="1"/>
  <c r="AK550" i="1"/>
  <c r="AK572" i="1"/>
  <c r="AK590" i="1"/>
  <c r="AK612" i="1"/>
  <c r="AK633" i="1"/>
  <c r="AK651" i="1"/>
  <c r="AK673" i="1"/>
  <c r="AK694" i="1"/>
  <c r="AK716" i="1"/>
  <c r="AK734" i="1"/>
  <c r="AK756" i="1"/>
  <c r="AK777" i="1"/>
  <c r="AK795" i="1"/>
  <c r="AK817" i="1"/>
  <c r="AK838" i="1"/>
  <c r="AK860" i="1"/>
  <c r="AK878" i="1"/>
  <c r="AK900" i="1"/>
  <c r="AK921" i="1"/>
  <c r="AJ30" i="1"/>
  <c r="AJ50" i="1"/>
  <c r="AJ66" i="1"/>
  <c r="AJ86" i="1"/>
  <c r="AJ101" i="1"/>
  <c r="AJ116" i="1"/>
  <c r="AJ128" i="1"/>
  <c r="AJ140" i="1"/>
  <c r="AJ152" i="1"/>
  <c r="AJ164" i="1"/>
  <c r="AJ176" i="1"/>
  <c r="AJ188" i="1"/>
  <c r="AJ200" i="1"/>
  <c r="AJ212" i="1"/>
  <c r="AJ224" i="1"/>
  <c r="AJ236" i="1"/>
  <c r="AJ248" i="1"/>
  <c r="AJ260" i="1"/>
  <c r="AJ272" i="1"/>
  <c r="AJ284" i="1"/>
  <c r="AJ296" i="1"/>
  <c r="AJ308" i="1"/>
  <c r="AJ320" i="1"/>
  <c r="AJ332" i="1"/>
  <c r="AJ344" i="1"/>
  <c r="AJ356" i="1"/>
  <c r="AJ368" i="1"/>
  <c r="AJ380" i="1"/>
  <c r="AJ392" i="1"/>
  <c r="AJ404" i="1"/>
  <c r="AJ416" i="1"/>
  <c r="AJ428" i="1"/>
  <c r="AJ440" i="1"/>
  <c r="AJ452" i="1"/>
  <c r="AJ464" i="1"/>
  <c r="AJ476" i="1"/>
  <c r="AJ488" i="1"/>
  <c r="AJ500" i="1"/>
  <c r="AJ512" i="1"/>
  <c r="AJ524" i="1"/>
  <c r="AJ536" i="1"/>
  <c r="AJ548" i="1"/>
  <c r="AJ560" i="1"/>
  <c r="AJ572" i="1"/>
  <c r="AK22" i="1"/>
  <c r="AK48" i="1"/>
  <c r="AK72" i="1"/>
  <c r="AK96" i="1"/>
  <c r="AK120" i="1"/>
  <c r="AK144" i="1"/>
  <c r="AK168" i="1"/>
  <c r="AK192" i="1"/>
  <c r="AK216" i="1"/>
  <c r="AK240" i="1"/>
  <c r="AK264" i="1"/>
  <c r="AK288" i="1"/>
  <c r="AK312" i="1"/>
  <c r="AK336" i="1"/>
  <c r="AK360" i="1"/>
  <c r="AK384" i="1"/>
  <c r="AK408" i="1"/>
  <c r="AK432" i="1"/>
  <c r="AK456" i="1"/>
  <c r="AK480" i="1"/>
  <c r="AK504" i="1"/>
  <c r="AK528" i="1"/>
  <c r="AK552" i="1"/>
  <c r="AK573" i="1"/>
  <c r="AK591" i="1"/>
  <c r="AK613" i="1"/>
  <c r="AK634" i="1"/>
  <c r="AK656" i="1"/>
  <c r="AK674" i="1"/>
  <c r="AK696" i="1"/>
  <c r="AK717" i="1"/>
  <c r="AK735" i="1"/>
  <c r="AK757" i="1"/>
  <c r="AK778" i="1"/>
  <c r="AK800" i="1"/>
  <c r="AK818" i="1"/>
  <c r="AK840" i="1"/>
  <c r="AK861" i="1"/>
  <c r="AK879" i="1"/>
  <c r="AK901" i="1"/>
  <c r="AK922" i="1"/>
  <c r="AJ31" i="1"/>
  <c r="AJ51" i="1"/>
  <c r="AJ67" i="1"/>
  <c r="AJ87" i="1"/>
  <c r="AJ102" i="1"/>
  <c r="AJ117" i="1"/>
  <c r="AJ129" i="1"/>
  <c r="AJ141" i="1"/>
  <c r="AJ153" i="1"/>
  <c r="AJ165" i="1"/>
  <c r="AJ177" i="1"/>
  <c r="AJ189" i="1"/>
  <c r="AJ201" i="1"/>
  <c r="AJ213" i="1"/>
  <c r="AJ225" i="1"/>
  <c r="AJ237" i="1"/>
  <c r="AJ249" i="1"/>
  <c r="AJ261" i="1"/>
  <c r="AJ273" i="1"/>
  <c r="AJ285" i="1"/>
  <c r="AJ297" i="1"/>
  <c r="AJ309" i="1"/>
  <c r="AJ321" i="1"/>
  <c r="AJ333" i="1"/>
  <c r="AJ345" i="1"/>
  <c r="AJ357" i="1"/>
  <c r="AJ369" i="1"/>
  <c r="AJ381" i="1"/>
  <c r="AJ393" i="1"/>
  <c r="AJ405" i="1"/>
  <c r="AJ417" i="1"/>
  <c r="AJ429" i="1"/>
  <c r="AJ441" i="1"/>
  <c r="AJ453" i="1"/>
  <c r="AJ465" i="1"/>
  <c r="AJ477" i="1"/>
  <c r="AJ489" i="1"/>
  <c r="AJ501" i="1"/>
  <c r="AJ513" i="1"/>
  <c r="AJ525" i="1"/>
  <c r="AJ537" i="1"/>
  <c r="AJ549" i="1"/>
  <c r="AJ561" i="1"/>
  <c r="AJ573" i="1"/>
  <c r="AK25" i="1"/>
  <c r="AK49" i="1"/>
  <c r="AK73" i="1"/>
  <c r="AK97" i="1"/>
  <c r="AK121" i="1"/>
  <c r="AK145" i="1"/>
  <c r="AK169" i="1"/>
  <c r="AK193" i="1"/>
  <c r="AK217" i="1"/>
  <c r="AK241" i="1"/>
  <c r="AK265" i="1"/>
  <c r="AK289" i="1"/>
  <c r="AK313" i="1"/>
  <c r="AK337" i="1"/>
  <c r="AK361" i="1"/>
  <c r="AK385" i="1"/>
  <c r="AK409" i="1"/>
  <c r="AK433" i="1"/>
  <c r="AK457" i="1"/>
  <c r="AK481" i="1"/>
  <c r="AK505" i="1"/>
  <c r="AK529" i="1"/>
  <c r="AK553" i="1"/>
  <c r="AK574" i="1"/>
  <c r="AK596" i="1"/>
  <c r="AK614" i="1"/>
  <c r="AK636" i="1"/>
  <c r="AK657" i="1"/>
  <c r="AK675" i="1"/>
  <c r="AK697" i="1"/>
  <c r="AK718" i="1"/>
  <c r="AK740" i="1"/>
  <c r="AK758" i="1"/>
  <c r="AK780" i="1"/>
  <c r="AK801" i="1"/>
  <c r="AK819" i="1"/>
  <c r="AK841" i="1"/>
  <c r="AK862" i="1"/>
  <c r="AK884" i="1"/>
  <c r="AK902" i="1"/>
  <c r="AK924" i="1"/>
  <c r="AJ36" i="1"/>
  <c r="AJ52" i="1"/>
  <c r="AJ72" i="1"/>
  <c r="AJ88" i="1"/>
  <c r="AJ103" i="1"/>
  <c r="AJ118" i="1"/>
  <c r="AJ130" i="1"/>
  <c r="AJ142" i="1"/>
  <c r="AJ154" i="1"/>
  <c r="AJ166" i="1"/>
  <c r="AJ178" i="1"/>
  <c r="AJ190" i="1"/>
  <c r="AJ202" i="1"/>
  <c r="AJ214" i="1"/>
  <c r="AJ226" i="1"/>
  <c r="AJ238" i="1"/>
  <c r="AJ250" i="1"/>
  <c r="AJ262" i="1"/>
  <c r="AJ274" i="1"/>
  <c r="AJ286" i="1"/>
  <c r="AJ298" i="1"/>
  <c r="AJ310" i="1"/>
  <c r="AJ322" i="1"/>
  <c r="AJ334" i="1"/>
  <c r="AJ346" i="1"/>
  <c r="AJ358" i="1"/>
  <c r="AJ370" i="1"/>
  <c r="AJ382" i="1"/>
  <c r="AJ394" i="1"/>
  <c r="AJ406" i="1"/>
  <c r="AJ418" i="1"/>
  <c r="AJ430" i="1"/>
  <c r="AJ442" i="1"/>
  <c r="AJ454" i="1"/>
  <c r="AJ466" i="1"/>
  <c r="AJ478" i="1"/>
  <c r="AJ490" i="1"/>
  <c r="AJ502" i="1"/>
  <c r="AJ514" i="1"/>
  <c r="AJ526" i="1"/>
  <c r="AJ538" i="1"/>
  <c r="AJ550" i="1"/>
  <c r="AJ562" i="1"/>
  <c r="AJ574" i="1"/>
  <c r="AK26" i="1"/>
  <c r="AK50" i="1"/>
  <c r="AK74" i="1"/>
  <c r="AK98" i="1"/>
  <c r="AK122" i="1"/>
  <c r="AK146" i="1"/>
  <c r="AK170" i="1"/>
  <c r="AK194" i="1"/>
  <c r="AK218" i="1"/>
  <c r="AK242" i="1"/>
  <c r="AK266" i="1"/>
  <c r="AK290" i="1"/>
  <c r="AK314" i="1"/>
  <c r="AK338" i="1"/>
  <c r="AK362" i="1"/>
  <c r="AK386" i="1"/>
  <c r="AK410" i="1"/>
  <c r="AK434" i="1"/>
  <c r="AK458" i="1"/>
  <c r="AK482" i="1"/>
  <c r="AK506" i="1"/>
  <c r="AK530" i="1"/>
  <c r="AK554" i="1"/>
  <c r="AK576" i="1"/>
  <c r="AK597" i="1"/>
  <c r="AK615" i="1"/>
  <c r="AK637" i="1"/>
  <c r="AK658" i="1"/>
  <c r="AK680" i="1"/>
  <c r="AK698" i="1"/>
  <c r="AK720" i="1"/>
  <c r="AK741" i="1"/>
  <c r="AK759" i="1"/>
  <c r="AK781" i="1"/>
  <c r="AK802" i="1"/>
  <c r="AK824" i="1"/>
  <c r="AK842" i="1"/>
  <c r="AK864" i="1"/>
  <c r="AK885" i="1"/>
  <c r="AK903" i="1"/>
  <c r="AK925" i="1"/>
  <c r="AJ37" i="1"/>
  <c r="AJ53" i="1"/>
  <c r="AJ73" i="1"/>
  <c r="AJ89" i="1"/>
  <c r="AJ106" i="1"/>
  <c r="AJ119" i="1"/>
  <c r="AJ131" i="1"/>
  <c r="AJ143" i="1"/>
  <c r="AJ155" i="1"/>
  <c r="AJ167" i="1"/>
  <c r="AJ179" i="1"/>
  <c r="AJ191" i="1"/>
  <c r="AJ203" i="1"/>
  <c r="AJ215" i="1"/>
  <c r="AJ227" i="1"/>
  <c r="AJ239" i="1"/>
  <c r="AJ251" i="1"/>
  <c r="AJ263" i="1"/>
  <c r="AJ275" i="1"/>
  <c r="AJ287" i="1"/>
  <c r="AJ299" i="1"/>
  <c r="AJ311" i="1"/>
  <c r="AJ323" i="1"/>
  <c r="AJ335" i="1"/>
  <c r="AJ347" i="1"/>
  <c r="AJ359" i="1"/>
  <c r="AJ371" i="1"/>
  <c r="AJ383" i="1"/>
  <c r="AJ395" i="1"/>
  <c r="AJ407" i="1"/>
  <c r="AJ419" i="1"/>
  <c r="AJ431" i="1"/>
  <c r="AJ443" i="1"/>
  <c r="AJ455" i="1"/>
  <c r="AJ467" i="1"/>
  <c r="AJ479" i="1"/>
  <c r="AJ491" i="1"/>
  <c r="AJ503" i="1"/>
  <c r="AK36" i="1"/>
  <c r="AK60" i="1"/>
  <c r="AK84" i="1"/>
  <c r="AK108" i="1"/>
  <c r="AK132" i="1"/>
  <c r="AK156" i="1"/>
  <c r="AK180" i="1"/>
  <c r="AK204" i="1"/>
  <c r="AK228" i="1"/>
  <c r="AK252" i="1"/>
  <c r="AK276" i="1"/>
  <c r="AK300" i="1"/>
  <c r="AK324" i="1"/>
  <c r="AK348" i="1"/>
  <c r="AK37" i="1"/>
  <c r="AK61" i="1"/>
  <c r="AK85" i="1"/>
  <c r="AK109" i="1"/>
  <c r="AK133" i="1"/>
  <c r="AK157" i="1"/>
  <c r="AK181" i="1"/>
  <c r="AK205" i="1"/>
  <c r="AK229" i="1"/>
  <c r="AK253" i="1"/>
  <c r="AK277" i="1"/>
  <c r="AK301" i="1"/>
  <c r="AK325" i="1"/>
  <c r="AK349" i="1"/>
  <c r="AK373" i="1"/>
  <c r="AK397" i="1"/>
  <c r="AK421" i="1"/>
  <c r="AK445" i="1"/>
  <c r="AK38" i="1"/>
  <c r="AK62" i="1"/>
  <c r="AK86" i="1"/>
  <c r="AK110" i="1"/>
  <c r="AK897" i="1"/>
  <c r="AK866" i="1"/>
  <c r="AK829" i="1"/>
  <c r="AK792" i="1"/>
  <c r="AK764" i="1"/>
  <c r="AK723" i="1"/>
  <c r="AK686" i="1"/>
  <c r="AK649" i="1"/>
  <c r="AK621" i="1"/>
  <c r="AK584" i="1"/>
  <c r="AK542" i="1"/>
  <c r="AK512" i="1"/>
  <c r="AK466" i="1"/>
  <c r="AK418" i="1"/>
  <c r="AK370" i="1"/>
  <c r="AK320" i="1"/>
  <c r="AK254" i="1"/>
  <c r="AK201" i="1"/>
  <c r="AK140" i="1"/>
  <c r="AK80" i="1"/>
  <c r="AK932" i="1"/>
  <c r="AK891" i="1"/>
  <c r="AK854" i="1"/>
  <c r="AK826" i="1"/>
  <c r="AK789" i="1"/>
  <c r="AK752" i="1"/>
  <c r="AK721" i="1"/>
  <c r="AK684" i="1"/>
  <c r="AK646" i="1"/>
  <c r="AJ929" i="1"/>
  <c r="AJ917" i="1"/>
  <c r="AJ905" i="1"/>
  <c r="AJ893" i="1"/>
  <c r="AJ881" i="1"/>
  <c r="AK927" i="1"/>
  <c r="AK890" i="1"/>
  <c r="AK853" i="1"/>
  <c r="AK825" i="1"/>
  <c r="AK788" i="1"/>
  <c r="AK747" i="1"/>
  <c r="AK710" i="1"/>
  <c r="AK682" i="1"/>
  <c r="AK645" i="1"/>
  <c r="AK608" i="1"/>
  <c r="AK577" i="1"/>
  <c r="AK538" i="1"/>
  <c r="AK926" i="1"/>
  <c r="AK889" i="1"/>
  <c r="AK852" i="1"/>
  <c r="AK814" i="1"/>
  <c r="AK783" i="1"/>
  <c r="AK746" i="1"/>
  <c r="AK709" i="1"/>
  <c r="AK681" i="1"/>
  <c r="AK644" i="1"/>
  <c r="AK603" i="1"/>
  <c r="AK566" i="1"/>
  <c r="AK537" i="1"/>
  <c r="AJ20" i="1"/>
  <c r="AJ8" i="1"/>
  <c r="AJ927" i="1"/>
  <c r="AJ915" i="1"/>
  <c r="AJ903" i="1"/>
  <c r="AJ891" i="1"/>
  <c r="AJ879" i="1"/>
  <c r="AJ867" i="1"/>
  <c r="AJ855" i="1"/>
  <c r="AJ843" i="1"/>
  <c r="AJ831" i="1"/>
  <c r="AJ819" i="1"/>
  <c r="AJ807" i="1"/>
  <c r="AJ795" i="1"/>
  <c r="AJ783" i="1"/>
  <c r="AJ771" i="1"/>
  <c r="AJ759" i="1"/>
  <c r="AJ747" i="1"/>
  <c r="AJ735" i="1"/>
  <c r="AJ723" i="1"/>
  <c r="AJ711" i="1"/>
  <c r="AJ699" i="1"/>
  <c r="AJ687" i="1"/>
  <c r="AJ675" i="1"/>
  <c r="AJ663" i="1"/>
  <c r="AJ651" i="1"/>
  <c r="AJ639" i="1"/>
  <c r="AJ627" i="1"/>
  <c r="AJ615" i="1"/>
  <c r="AJ603" i="1"/>
  <c r="AJ591" i="1"/>
  <c r="AJ579" i="1"/>
  <c r="AJ564" i="1"/>
  <c r="AJ546" i="1"/>
  <c r="AJ531" i="1"/>
  <c r="AJ516" i="1"/>
  <c r="AJ497" i="1"/>
  <c r="AJ481" i="1"/>
  <c r="AJ461" i="1"/>
  <c r="AJ445" i="1"/>
  <c r="AJ425" i="1"/>
  <c r="AJ409" i="1"/>
  <c r="AJ389" i="1"/>
  <c r="AJ373" i="1"/>
  <c r="AJ352" i="1"/>
  <c r="AJ330" i="1"/>
  <c r="AJ313" i="1"/>
  <c r="AJ291" i="1"/>
  <c r="AJ269" i="1"/>
  <c r="AJ252" i="1"/>
  <c r="AJ230" i="1"/>
  <c r="AJ208" i="1"/>
  <c r="AJ186" i="1"/>
  <c r="AJ169" i="1"/>
  <c r="AJ147" i="1"/>
  <c r="AJ125" i="1"/>
  <c r="AJ108" i="1"/>
  <c r="AJ76" i="1"/>
  <c r="AJ42" i="1"/>
  <c r="AK915" i="1"/>
  <c r="AK888" i="1"/>
  <c r="AK850" i="1"/>
  <c r="AK813" i="1"/>
  <c r="AK782" i="1"/>
  <c r="AK745" i="1"/>
  <c r="AK708" i="1"/>
  <c r="AK670" i="1"/>
  <c r="AK639" i="1"/>
  <c r="AK602" i="1"/>
  <c r="AK565" i="1"/>
  <c r="AK536" i="1"/>
  <c r="AK490" i="1"/>
  <c r="AK444" i="1"/>
  <c r="AK396" i="1"/>
  <c r="AK346" i="1"/>
  <c r="AK296" i="1"/>
  <c r="AK230" i="1"/>
  <c r="AK177" i="1"/>
  <c r="AK116" i="1"/>
  <c r="AK44" i="1"/>
  <c r="AJ19" i="1"/>
  <c r="AJ7" i="1"/>
  <c r="AJ926" i="1"/>
  <c r="AJ914" i="1"/>
  <c r="AJ902" i="1"/>
  <c r="AJ890" i="1"/>
  <c r="AJ878" i="1"/>
  <c r="AJ866" i="1"/>
  <c r="AJ854" i="1"/>
  <c r="AJ842" i="1"/>
  <c r="AJ830" i="1"/>
  <c r="AJ818" i="1"/>
  <c r="AJ806" i="1"/>
  <c r="AJ794" i="1"/>
  <c r="AJ782" i="1"/>
  <c r="AJ770" i="1"/>
  <c r="AJ758" i="1"/>
  <c r="AJ746" i="1"/>
  <c r="AJ734" i="1"/>
  <c r="AJ722" i="1"/>
  <c r="AJ710" i="1"/>
  <c r="AJ698" i="1"/>
  <c r="AJ686" i="1"/>
  <c r="AJ674" i="1"/>
  <c r="AJ662" i="1"/>
  <c r="AJ650" i="1"/>
  <c r="AJ638" i="1"/>
  <c r="AJ626" i="1"/>
  <c r="AJ614" i="1"/>
  <c r="AJ602" i="1"/>
  <c r="AJ590" i="1"/>
  <c r="AJ578" i="1"/>
  <c r="AJ563" i="1"/>
  <c r="AJ545" i="1"/>
  <c r="AJ530" i="1"/>
  <c r="AJ515" i="1"/>
  <c r="AJ496" i="1"/>
  <c r="AJ480" i="1"/>
  <c r="AJ460" i="1"/>
  <c r="AJ444" i="1"/>
  <c r="AJ424" i="1"/>
  <c r="AJ408" i="1"/>
  <c r="AJ388" i="1"/>
  <c r="AJ372" i="1"/>
  <c r="AJ351" i="1"/>
  <c r="AJ329" i="1"/>
  <c r="AJ312" i="1"/>
  <c r="AJ290" i="1"/>
  <c r="AJ268" i="1"/>
  <c r="AJ246" i="1"/>
  <c r="AJ229" i="1"/>
  <c r="AJ207" i="1"/>
  <c r="AJ185" i="1"/>
  <c r="AJ168" i="1"/>
  <c r="AJ146" i="1"/>
  <c r="AJ124" i="1"/>
  <c r="AJ99" i="1"/>
  <c r="AJ75" i="1"/>
  <c r="AJ41" i="1"/>
  <c r="AK914" i="1"/>
  <c r="AK886" i="1"/>
  <c r="AK849" i="1"/>
  <c r="AK812" i="1"/>
  <c r="AK771" i="1"/>
  <c r="AK744" i="1"/>
  <c r="AK706" i="1"/>
  <c r="AK669" i="1"/>
  <c r="AK638" i="1"/>
  <c r="AK601" i="1"/>
  <c r="AK564" i="1"/>
  <c r="AK524" i="1"/>
  <c r="AK489" i="1"/>
  <c r="AK442" i="1"/>
  <c r="AK394" i="1"/>
  <c r="AK345" i="1"/>
  <c r="AK284" i="1"/>
  <c r="AK226" i="1"/>
  <c r="AK176" i="1"/>
  <c r="AK106" i="1"/>
  <c r="AK34" i="1"/>
  <c r="AJ18" i="1"/>
  <c r="AJ6" i="1"/>
  <c r="AJ925" i="1"/>
  <c r="AJ913" i="1"/>
  <c r="AJ901" i="1"/>
  <c r="AJ889" i="1"/>
  <c r="AJ877" i="1"/>
  <c r="AJ865" i="1"/>
  <c r="AJ853" i="1"/>
  <c r="AJ841" i="1"/>
  <c r="AJ829" i="1"/>
  <c r="AJ817" i="1"/>
  <c r="AJ805" i="1"/>
  <c r="AJ793" i="1"/>
  <c r="AJ781" i="1"/>
  <c r="AJ769" i="1"/>
  <c r="AJ757" i="1"/>
  <c r="AJ745" i="1"/>
  <c r="AJ733" i="1"/>
  <c r="AJ721" i="1"/>
  <c r="AJ709" i="1"/>
  <c r="AJ697" i="1"/>
  <c r="AJ685" i="1"/>
  <c r="AJ673" i="1"/>
  <c r="AJ661" i="1"/>
  <c r="AJ649" i="1"/>
  <c r="AJ637" i="1"/>
  <c r="AJ625" i="1"/>
  <c r="AJ613" i="1"/>
  <c r="AJ601" i="1"/>
  <c r="AJ589" i="1"/>
  <c r="AJ577" i="1"/>
  <c r="AJ559" i="1"/>
  <c r="AJ544" i="1"/>
  <c r="AJ529" i="1"/>
  <c r="AJ511" i="1"/>
  <c r="AJ495" i="1"/>
  <c r="AJ475" i="1"/>
  <c r="AJ459" i="1"/>
  <c r="AJ439" i="1"/>
  <c r="AJ423" i="1"/>
  <c r="AJ403" i="1"/>
  <c r="AJ387" i="1"/>
  <c r="AJ367" i="1"/>
  <c r="AJ350" i="1"/>
  <c r="AJ328" i="1"/>
  <c r="AJ306" i="1"/>
  <c r="AJ289" i="1"/>
  <c r="AJ267" i="1"/>
  <c r="AJ245" i="1"/>
  <c r="AJ228" i="1"/>
  <c r="AJ206" i="1"/>
  <c r="AJ184" i="1"/>
  <c r="AJ162" i="1"/>
  <c r="AJ145" i="1"/>
  <c r="AJ123" i="1"/>
  <c r="AJ98" i="1"/>
  <c r="AJ74" i="1"/>
  <c r="AJ40" i="1"/>
  <c r="AK913" i="1"/>
  <c r="AK876" i="1"/>
  <c r="AK848" i="1"/>
  <c r="AK807" i="1"/>
  <c r="AK770" i="1"/>
  <c r="AK742" i="1"/>
  <c r="AK705" i="1"/>
  <c r="AK668" i="1"/>
  <c r="AK627" i="1"/>
  <c r="AK600" i="1"/>
  <c r="AK562" i="1"/>
  <c r="AK518" i="1"/>
  <c r="AK488" i="1"/>
  <c r="AK441" i="1"/>
  <c r="AK393" i="1"/>
  <c r="AK344" i="1"/>
  <c r="AK278" i="1"/>
  <c r="AK225" i="1"/>
  <c r="AK164" i="1"/>
  <c r="AK105" i="1"/>
  <c r="AK33" i="1"/>
  <c r="AJ17" i="1"/>
  <c r="AJ5" i="1"/>
  <c r="AJ924" i="1"/>
  <c r="AJ912" i="1"/>
  <c r="AJ900" i="1"/>
  <c r="AJ888" i="1"/>
  <c r="AJ876" i="1"/>
  <c r="AJ864" i="1"/>
  <c r="AJ852" i="1"/>
  <c r="AJ840" i="1"/>
  <c r="AJ828" i="1"/>
  <c r="AJ816" i="1"/>
  <c r="AJ804" i="1"/>
  <c r="AJ792" i="1"/>
  <c r="AJ780" i="1"/>
  <c r="AJ768" i="1"/>
  <c r="AJ756" i="1"/>
  <c r="AJ744" i="1"/>
  <c r="AJ732" i="1"/>
  <c r="AJ720" i="1"/>
  <c r="AJ708" i="1"/>
  <c r="AJ696" i="1"/>
  <c r="AJ684" i="1"/>
  <c r="AJ672" i="1"/>
  <c r="AJ660" i="1"/>
  <c r="AJ648" i="1"/>
  <c r="AJ636" i="1"/>
  <c r="AJ624" i="1"/>
  <c r="AJ612" i="1"/>
  <c r="AJ600" i="1"/>
  <c r="AJ588" i="1"/>
  <c r="AJ576" i="1"/>
  <c r="AJ558" i="1"/>
  <c r="AJ543" i="1"/>
  <c r="AJ528" i="1"/>
  <c r="AJ510" i="1"/>
  <c r="AJ494" i="1"/>
  <c r="AJ474" i="1"/>
  <c r="AJ458" i="1"/>
  <c r="AJ438" i="1"/>
  <c r="AJ422" i="1"/>
  <c r="AJ402" i="1"/>
  <c r="AJ386" i="1"/>
  <c r="AJ366" i="1"/>
  <c r="AJ349" i="1"/>
  <c r="AJ327" i="1"/>
  <c r="AJ305" i="1"/>
  <c r="AJ288" i="1"/>
  <c r="AJ266" i="1"/>
  <c r="AJ244" i="1"/>
  <c r="AJ222" i="1"/>
  <c r="AJ205" i="1"/>
  <c r="AJ183" i="1"/>
  <c r="AJ161" i="1"/>
  <c r="AJ144" i="1"/>
  <c r="AJ122" i="1"/>
  <c r="AJ97" i="1"/>
  <c r="AJ64" i="1"/>
  <c r="AJ39" i="1"/>
  <c r="AK912" i="1"/>
  <c r="AK874" i="1"/>
  <c r="AK843" i="1"/>
  <c r="AK806" i="1"/>
  <c r="AK769" i="1"/>
  <c r="AK732" i="1"/>
  <c r="AK704" i="1"/>
  <c r="AK663" i="1"/>
  <c r="AK626" i="1"/>
  <c r="AK598" i="1"/>
  <c r="AK561" i="1"/>
  <c r="AK517" i="1"/>
  <c r="AK476" i="1"/>
  <c r="AK440" i="1"/>
  <c r="AK392" i="1"/>
  <c r="AK332" i="1"/>
  <c r="AK274" i="1"/>
  <c r="AK224" i="1"/>
  <c r="AK158" i="1"/>
  <c r="AK104" i="1"/>
  <c r="AK32" i="1"/>
  <c r="AJ107" i="1"/>
  <c r="AJ95" i="1"/>
  <c r="AJ83" i="1"/>
  <c r="AJ71" i="1"/>
  <c r="AJ59" i="1"/>
  <c r="AJ47" i="1"/>
  <c r="AJ35" i="1"/>
  <c r="AJ70" i="1"/>
  <c r="AJ58" i="1"/>
  <c r="AJ46" i="1"/>
  <c r="AJ34" i="1"/>
  <c r="AJ105" i="1"/>
  <c r="AJ93" i="1"/>
  <c r="AJ81" i="1"/>
  <c r="AJ69" i="1"/>
  <c r="AJ57" i="1"/>
  <c r="AJ45" i="1"/>
  <c r="AJ33" i="1"/>
  <c r="AJ92" i="1"/>
  <c r="AJ80" i="1"/>
  <c r="AJ68" i="1"/>
  <c r="AJ56" i="1"/>
  <c r="AJ44" i="1"/>
  <c r="AJ32" i="1"/>
  <c r="A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<sst xmlns="http://schemas.openxmlformats.org/spreadsheetml/2006/main" count="15926" uniqueCount="4118">
  <si>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</si>
  <si>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</si>
  <si>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</si>
  <si>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</si>
  <si>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</si>
  <si>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</si>
  <si>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</si>
  <si>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</si>
  <si>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</si>
  <si>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</si>
  <si>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</si>
  <si>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</si>
  <si>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</si>
  <si>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</si>
  <si>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</si>
  <si>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</si>
  <si>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</si>
  <si>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</si>
  <si>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</si>
  <si>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</si>
  <si>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</si>
  <si>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</si>
  <si>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</si>
  <si>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</si>
  <si>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</si>
  <si>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</si>
  <si>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</si>
  <si>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</si>
  <si>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</si>
  <si>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</si>
  <si>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</si>
  <si>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</si>
  <si>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</si>
  <si>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</si>
  <si>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</si>
  <si>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</si>
  <si>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</si>
  <si>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</si>
  <si>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</si>
  <si>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</si>
  <si>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</si>
  <si>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</si>
  <si>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</si>
  <si>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</si>
  <si>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</si>
  <si>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</si>
  <si>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</si>
  <si>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</si>
  <si>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</si>
  <si>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</si>
  <si>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</si>
  <si>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</si>
  <si>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</si>
  <si>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</si>
  <si>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</si>
  <si>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</si>
  <si>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</si>
  <si>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</si>
  <si>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</si>
  <si>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</si>
  <si>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</si>
  <si>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</si>
  <si>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</si>
  <si>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</si>
  <si>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</si>
  <si>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</si>
  <si>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</si>
  <si>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</si>
  <si>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</si>
  <si>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</si>
  <si>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</si>
  <si>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</si>
  <si>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</si>
  <si>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</si>
  <si>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</si>
  <si>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</si>
  <si>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</si>
  <si>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</si>
  <si>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</si>
  <si>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</si>
  <si>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</si>
  <si>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</si>
  <si>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</si>
  <si>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</si>
  <si>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</si>
  <si>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</si>
  <si>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</si>
  <si>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</si>
  <si>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</si>
  <si>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</si>
  <si>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</si>
  <si>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</si>
  <si>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</si>
  <si>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</si>
  <si>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</si>
  <si>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</si>
  <si>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</si>
  <si>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</si>
  <si>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</si>
  <si>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</si>
  <si>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</si>
  <si>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</si>
  <si>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</si>
  <si>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</si>
  <si>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</si>
  <si>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</si>
  <si>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</si>
  <si>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</si>
  <si>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</si>
  <si>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</si>
  <si>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</si>
  <si>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</si>
  <si>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</si>
  <si>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</si>
  <si>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</si>
  <si>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</si>
  <si>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</si>
  <si>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</si>
  <si>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</si>
  <si>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</si>
  <si>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</si>
  <si>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</si>
  <si>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</si>
  <si>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</si>
  <si>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</si>
  <si>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</si>
  <si>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</si>
  <si>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</si>
  <si>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</si>
  <si>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</si>
  <si>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</si>
  <si>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</si>
  <si>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</si>
  <si>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</si>
  <si>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</si>
  <si>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</si>
  <si>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</si>
  <si>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</si>
  <si>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</si>
  <si>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</si>
  <si>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</si>
  <si>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</si>
  <si>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</si>
  <si>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</si>
  <si>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</si>
  <si>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</si>
  <si>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</si>
  <si>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</si>
  <si>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</si>
  <si>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</si>
  <si>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</si>
  <si>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</si>
  <si>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</si>
  <si>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</si>
  <si>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</si>
  <si>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</si>
  <si>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</si>
  <si>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</si>
  <si>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</si>
  <si>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</si>
  <si>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</si>
  <si>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</si>
  <si>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</si>
  <si>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</si>
  <si>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</si>
  <si>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</si>
  <si>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</si>
  <si>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</si>
  <si>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</si>
  <si>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</si>
  <si>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</si>
  <si>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</si>
  <si>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</si>
  <si>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</si>
  <si>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</si>
  <si>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</si>
  <si>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</si>
  <si>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</si>
  <si>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</si>
  <si>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</si>
  <si>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</si>
  <si>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</si>
  <si>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</si>
  <si>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</si>
  <si>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</si>
  <si>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</si>
  <si>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</si>
  <si>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</si>
  <si>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</si>
  <si>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</si>
  <si>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</si>
  <si>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</si>
  <si>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</si>
  <si>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</si>
  <si>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</si>
  <si>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</si>
  <si>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</si>
  <si>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</si>
  <si>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</si>
  <si>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</si>
  <si>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</si>
  <si>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</si>
  <si>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</si>
  <si>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</si>
  <si>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</si>
  <si>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</si>
  <si>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</si>
  <si>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</si>
  <si>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</si>
  <si>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</si>
  <si>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</si>
  <si>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</si>
  <si>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</si>
  <si>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</si>
  <si>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</si>
  <si>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</si>
  <si>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</si>
  <si>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</si>
  <si>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</si>
  <si>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</si>
  <si>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</si>
  <si>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</si>
  <si>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</si>
  <si>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</si>
  <si>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</si>
  <si>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</si>
  <si>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</si>
  <si>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</si>
  <si>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</si>
  <si>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</si>
  <si>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</si>
  <si>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</si>
  <si>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</si>
  <si>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</si>
  <si>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</si>
  <si>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</si>
  <si>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</si>
  <si>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</si>
  <si>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</si>
  <si>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</si>
  <si>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</si>
  <si>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</si>
  <si>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</si>
  <si>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</si>
  <si>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</si>
  <si>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</si>
  <si>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</si>
  <si>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</si>
  <si>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</si>
  <si>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</si>
  <si>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</si>
  <si>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</si>
  <si>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</si>
  <si>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</si>
  <si>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</si>
  <si>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</si>
  <si>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</si>
  <si>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</si>
  <si>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</si>
  <si>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</si>
  <si>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</si>
  <si>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</si>
  <si>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</si>
  <si>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</si>
  <si>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</si>
  <si>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</si>
  <si>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</si>
  <si>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</si>
  <si>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</si>
  <si>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</si>
  <si>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</si>
  <si>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</si>
  <si>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</si>
  <si>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</si>
  <si>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</si>
  <si>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</si>
  <si>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</si>
  <si>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</si>
  <si>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</si>
  <si>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</si>
  <si>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</si>
  <si>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</si>
  <si>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</si>
  <si>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</si>
  <si>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</si>
  <si>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</si>
  <si>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</si>
  <si>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</si>
  <si>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</si>
  <si>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</si>
  <si>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</si>
  <si>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</si>
  <si>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</si>
  <si>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</si>
  <si>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</si>
  <si>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</si>
  <si>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</si>
  <si>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</si>
  <si>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</si>
  <si>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</si>
  <si>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</si>
  <si>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</si>
  <si>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</si>
  <si>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</si>
  <si>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</si>
  <si>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</si>
  <si>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</si>
  <si>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</si>
  <si>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</si>
  <si>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</si>
  <si>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</si>
  <si>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</si>
  <si>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</si>
  <si>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</si>
  <si>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</si>
  <si>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</si>
  <si>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</si>
  <si>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</si>
  <si>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</si>
  <si>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</si>
  <si>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</si>
  <si>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</si>
  <si>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</si>
  <si>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</si>
  <si>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</si>
  <si>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</si>
  <si>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</si>
  <si>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</si>
  <si>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</si>
  <si>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</si>
  <si>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</si>
  <si>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</si>
  <si>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</si>
  <si>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</si>
  <si>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</si>
  <si>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</si>
  <si>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</si>
  <si>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</si>
  <si>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</si>
  <si>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</si>
  <si>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</si>
  <si>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</si>
  <si>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</si>
  <si>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</si>
  <si>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</si>
  <si>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</si>
  <si>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</si>
  <si>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</si>
  <si>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</si>
  <si>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</si>
  <si>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</si>
  <si>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</si>
  <si>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</si>
  <si>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</si>
  <si>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</si>
  <si>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</si>
  <si>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</si>
  <si>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</si>
  <si>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</si>
  <si>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</si>
  <si>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</si>
  <si>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</si>
  <si>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</si>
  <si>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</si>
  <si>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</si>
  <si>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</si>
  <si>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</si>
  <si>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</si>
  <si>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</si>
  <si>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</si>
  <si>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</si>
  <si>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</si>
  <si>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</si>
  <si>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</si>
  <si>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</si>
  <si>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</si>
  <si>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</si>
  <si>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</si>
  <si>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</si>
  <si>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</si>
  <si>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</si>
  <si>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</si>
  <si>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</si>
  <si>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</si>
  <si>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</si>
  <si>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</si>
  <si>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</si>
  <si>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</si>
  <si>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</si>
  <si>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</si>
  <si>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</si>
  <si>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</si>
  <si>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</si>
  <si>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</si>
  <si>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</si>
  <si>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</si>
  <si>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</si>
  <si>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</si>
  <si>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</si>
  <si>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</si>
  <si>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</si>
  <si>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</si>
  <si>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</si>
  <si>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</si>
  <si>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</si>
  <si>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</si>
  <si>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</si>
  <si>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</si>
  <si>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</si>
  <si>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</si>
  <si>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</si>
  <si>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</si>
  <si>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</si>
  <si>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</si>
  <si>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</si>
  <si>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</si>
  <si>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</si>
  <si>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</si>
  <si>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</si>
  <si>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</si>
  <si>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</si>
  <si>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</si>
  <si>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</si>
  <si>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</si>
  <si>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</si>
  <si>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</si>
  <si>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</si>
  <si>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</si>
  <si>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</si>
  <si>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</si>
  <si>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</si>
  <si>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</si>
  <si>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</si>
  <si>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</si>
  <si>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</si>
  <si>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</si>
  <si>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</si>
  <si>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</si>
  <si>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</si>
  <si>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</si>
  <si>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</si>
  <si>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</si>
  <si>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</si>
  <si>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</si>
  <si>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</si>
  <si>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</si>
  <si>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</si>
  <si>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</si>
  <si>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</si>
  <si>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</si>
  <si>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</si>
  <si>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</si>
  <si>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</si>
  <si>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</si>
  <si>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</si>
  <si>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</si>
  <si>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</si>
  <si>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</si>
  <si>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</si>
  <si>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</si>
  <si>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</si>
  <si>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</si>
  <si>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</si>
  <si>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</si>
  <si>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</si>
  <si>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</si>
  <si>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</si>
  <si>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</si>
  <si>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</si>
  <si>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</si>
  <si>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</si>
  <si>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</si>
  <si>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</si>
  <si>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</si>
  <si>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</si>
  <si>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</si>
  <si>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</si>
  <si>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</si>
  <si>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</si>
  <si>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</si>
  <si>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</si>
  <si>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</si>
  <si>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</si>
  <si>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</si>
  <si>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</si>
  <si>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</si>
  <si>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</si>
  <si>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</si>
  <si>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</si>
  <si>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</si>
  <si>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</si>
  <si>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</si>
  <si>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</si>
  <si>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</si>
  <si>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</si>
  <si>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</si>
  <si>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</si>
  <si>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</si>
  <si>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</si>
  <si>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</si>
  <si>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</si>
  <si>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</si>
  <si>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</si>
  <si>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</si>
  <si>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</si>
  <si>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</si>
  <si>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</si>
  <si>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</si>
  <si>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</si>
  <si>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</si>
  <si>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</si>
  <si>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</si>
  <si>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</si>
  <si>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</si>
  <si>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</si>
  <si>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</si>
  <si>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</si>
  <si>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</si>
  <si>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</si>
  <si>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</si>
  <si>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</si>
  <si>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</si>
  <si>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</si>
  <si>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</si>
  <si>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</si>
  <si>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</si>
  <si>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</si>
  <si>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</si>
  <si>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</si>
  <si>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</si>
  <si>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</si>
  <si>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</si>
  <si>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</si>
  <si>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</si>
  <si>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</si>
  <si>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</si>
  <si>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</si>
  <si>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</si>
  <si>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</si>
  <si>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</si>
  <si>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</si>
  <si>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</si>
  <si>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</si>
  <si>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</si>
  <si>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</si>
  <si>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</si>
  <si>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</si>
  <si>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</si>
  <si>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</si>
  <si>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</si>
  <si>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</si>
  <si>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</si>
  <si>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</si>
  <si>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</si>
  <si>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</si>
  <si>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</si>
  <si>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</si>
  <si>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</si>
  <si>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</si>
  <si>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</si>
  <si>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</si>
  <si>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</si>
  <si>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</si>
  <si>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</si>
  <si>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</si>
  <si>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</si>
  <si>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</si>
  <si>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</si>
  <si>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</si>
  <si>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</si>
  <si>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</si>
  <si>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</si>
  <si>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</si>
  <si>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</si>
  <si>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</si>
  <si>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</si>
  <si>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</si>
  <si>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</si>
  <si>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</si>
  <si>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</si>
  <si>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</si>
  <si>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</si>
  <si>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</si>
  <si>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</si>
  <si>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</si>
  <si>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</si>
  <si>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</si>
  <si>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</si>
  <si>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</si>
  <si>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</si>
  <si>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</si>
  <si>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</si>
  <si>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</si>
  <si>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</si>
  <si>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</si>
  <si>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</si>
  <si>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</si>
  <si>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</si>
  <si>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</si>
  <si>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</si>
  <si>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</si>
  <si>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</si>
  <si>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</si>
  <si>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</si>
  <si>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</si>
  <si>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</si>
  <si>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</si>
  <si>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</si>
  <si>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</si>
  <si>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</si>
  <si>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</si>
  <si>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</si>
  <si>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</si>
  <si>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</si>
  <si>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</si>
  <si>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</si>
  <si>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</si>
  <si>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</si>
  <si>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</si>
  <si>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</si>
  <si>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</si>
  <si>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</si>
  <si>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</si>
  <si>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</si>
  <si>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</si>
  <si>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</si>
  <si>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</si>
  <si>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</si>
  <si>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</si>
  <si>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</si>
  <si>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</si>
  <si>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</si>
  <si>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</si>
  <si>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</si>
  <si>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</si>
  <si>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</si>
  <si>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</si>
  <si>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</si>
  <si>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</si>
  <si>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</si>
  <si>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</si>
  <si>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</si>
  <si>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</si>
  <si>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</si>
  <si>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</si>
  <si>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</si>
  <si>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</si>
  <si>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</si>
  <si>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</si>
  <si>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</si>
  <si>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</si>
  <si>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</si>
  <si>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</si>
  <si>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</si>
  <si>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</si>
  <si>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</si>
  <si>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</si>
  <si>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</si>
  <si>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</si>
  <si>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</si>
  <si>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</si>
  <si>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</si>
  <si>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</si>
  <si>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</si>
  <si>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</si>
  <si>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</si>
  <si>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</si>
  <si>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</si>
  <si>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</si>
  <si>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</si>
  <si>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</si>
  <si>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</si>
  <si>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</si>
  <si>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</si>
  <si>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</si>
  <si>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</si>
  <si>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</si>
  <si>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</si>
  <si>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</si>
  <si>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</si>
  <si>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</si>
  <si>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</si>
  <si>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</si>
  <si>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</si>
  <si>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</si>
  <si>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</si>
  <si>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</si>
  <si>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</si>
  <si>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</si>
  <si>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</si>
  <si>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</si>
  <si>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</si>
  <si>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</si>
  <si>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</si>
  <si>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</si>
  <si>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</si>
  <si>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</si>
  <si>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</si>
  <si>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</si>
  <si>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</si>
  <si>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</si>
  <si>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</si>
  <si>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</si>
  <si>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</si>
  <si>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</si>
  <si>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</si>
  <si>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</si>
  <si>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</si>
  <si>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</si>
  <si>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</si>
  <si>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</si>
  <si>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</si>
  <si>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</si>
  <si>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</si>
  <si>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</si>
  <si>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</si>
  <si>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</si>
  <si>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</si>
  <si>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</si>
  <si>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</si>
  <si>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</si>
  <si>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</si>
  <si>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</si>
  <si>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</si>
  <si>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</si>
  <si>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</si>
  <si>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</si>
  <si>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</si>
  <si>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</si>
  <si>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</si>
  <si>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</si>
  <si>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</si>
  <si>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</si>
  <si>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</si>
  <si>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</si>
  <si>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</si>
  <si>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</si>
  <si>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</si>
  <si>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</si>
  <si>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</si>
  <si>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</si>
  <si>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</si>
  <si>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</si>
  <si>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</si>
  <si>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</si>
  <si>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</si>
  <si>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</si>
  <si>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</si>
  <si>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</si>
  <si>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</si>
  <si>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</si>
  <si>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</si>
  <si>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</si>
  <si>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</si>
  <si>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</si>
  <si>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</si>
  <si>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</si>
  <si>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</si>
  <si>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</si>
  <si>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</si>
  <si>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</si>
  <si>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</si>
  <si>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</si>
  <si>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</si>
  <si>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</si>
  <si>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</si>
  <si>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</si>
  <si>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</si>
  <si>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</si>
  <si>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</si>
  <si>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</si>
  <si>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</si>
  <si>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</si>
  <si>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</si>
  <si>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</si>
  <si>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</si>
  <si>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</si>
  <si>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</si>
  <si>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</si>
  <si>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</si>
  <si>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</si>
  <si>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</si>
  <si>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</si>
  <si>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</si>
  <si>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</si>
  <si>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</si>
  <si>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</si>
  <si>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</si>
  <si>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</si>
  <si>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</si>
  <si>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</si>
  <si>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</si>
  <si>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</si>
  <si>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</si>
  <si>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</si>
  <si>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</si>
  <si>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</si>
  <si>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</si>
  <si>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</si>
  <si>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</si>
  <si>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</si>
  <si>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</si>
  <si>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</si>
  <si>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</si>
  <si>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</si>
  <si>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</si>
  <si>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</si>
  <si>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</si>
  <si>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</si>
  <si>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</si>
  <si>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</si>
  <si>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</si>
  <si>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</si>
  <si>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</si>
  <si>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</si>
  <si>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</si>
  <si>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</si>
  <si>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</si>
  <si>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</si>
  <si>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</si>
  <si>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</si>
  <si>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</si>
  <si>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</si>
  <si>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</si>
  <si>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</si>
  <si>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</si>
  <si>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</si>
  <si>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</si>
  <si>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</si>
  <si>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</si>
  <si>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</si>
  <si>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</si>
  <si>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</si>
  <si>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</si>
  <si>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</si>
  <si>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</si>
  <si>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</si>
  <si>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</si>
  <si>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</si>
  <si>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</si>
  <si>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</si>
  <si>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</si>
  <si>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</si>
  <si>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</si>
  <si>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</si>
  <si>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</si>
  <si>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</si>
  <si>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</si>
  <si>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</si>
  <si>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</si>
  <si>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</si>
  <si>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</si>
  <si>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</si>
  <si>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</si>
  <si>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</si>
  <si>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</si>
  <si>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</si>
  <si>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</si>
  <si>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</si>
  <si>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</si>
  <si>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</si>
  <si>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</si>
  <si>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</si>
  <si>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</si>
  <si>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</si>
  <si>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</si>
  <si>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</si>
  <si>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</si>
  <si>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</si>
  <si>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</si>
  <si>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</si>
  <si>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</si>
  <si>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</si>
  <si>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</si>
  <si>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</si>
  <si>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</si>
  <si>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</si>
  <si>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</si>
  <si>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</si>
  <si>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</si>
  <si>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</si>
  <si>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</si>
  <si>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</si>
  <si>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</si>
  <si>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</si>
  <si>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</si>
  <si>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</si>
  <si>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</si>
  <si>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</si>
  <si>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</si>
  <si>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</si>
  <si>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</si>
  <si>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</si>
  <si>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</si>
  <si>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</si>
  <si>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</si>
  <si>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</si>
  <si>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</si>
  <si>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</si>
  <si>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</si>
  <si>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</si>
  <si>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</si>
  <si>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</si>
  <si>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</si>
  <si>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</si>
  <si>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</si>
  <si>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</si>
  <si>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</si>
  <si>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</si>
  <si>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</si>
  <si>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</si>
  <si>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</si>
  <si>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</si>
  <si>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</si>
  <si>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</si>
  <si>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</si>
  <si>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</si>
  <si>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</si>
  <si>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</si>
  <si>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</si>
  <si>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</si>
  <si>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</si>
  <si>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</si>
  <si>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</si>
  <si>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</si>
  <si>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</si>
  <si>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</si>
  <si>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</si>
  <si>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</si>
  <si>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</si>
  <si>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</si>
  <si>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</si>
  <si>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</si>
  <si>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</si>
  <si>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</si>
  <si>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</si>
  <si>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</si>
  <si>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</si>
  <si>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</si>
  <si>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</si>
  <si>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</si>
  <si>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</si>
  <si>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</si>
  <si>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</si>
  <si>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</si>
  <si>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</si>
  <si>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</si>
  <si>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</si>
  <si>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</si>
  <si>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</si>
  <si>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</si>
  <si>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</si>
  <si>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</si>
  <si>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</si>
  <si>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</si>
  <si>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</si>
  <si>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</si>
  <si>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</si>
  <si>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</si>
  <si>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</si>
  <si>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</si>
  <si>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</si>
  <si>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</si>
  <si>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</si>
  <si>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</si>
  <si>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</si>
  <si>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</si>
  <si>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</si>
  <si>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</si>
  <si>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</si>
  <si>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</si>
  <si>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</si>
  <si>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</si>
  <si>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</si>
  <si>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</si>
  <si>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</si>
  <si>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</si>
  <si>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</si>
  <si>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</si>
  <si>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</si>
  <si>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</si>
  <si>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</si>
  <si>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</si>
  <si>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</si>
  <si>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</si>
  <si>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</si>
  <si>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</si>
  <si>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</si>
  <si>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</si>
  <si>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</si>
  <si>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</si>
  <si>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</si>
  <si>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</si>
  <si>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</si>
  <si>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</si>
  <si>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</si>
  <si>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</si>
  <si>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</si>
  <si>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</si>
  <si>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</si>
  <si>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</si>
  <si>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</si>
  <si>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</si>
  <si>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</si>
  <si>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</si>
  <si>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</si>
  <si>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</si>
  <si>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</si>
  <si>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</si>
  <si>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</si>
  <si>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</si>
  <si>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</si>
  <si>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</si>
  <si>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</si>
  <si>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</si>
  <si>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</si>
  <si>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</si>
  <si>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</si>
  <si>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</si>
  <si>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</si>
  <si>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</si>
  <si>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</si>
  <si>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</si>
  <si>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</si>
  <si>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</si>
  <si>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</si>
  <si>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</si>
  <si>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</si>
  <si>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</si>
  <si>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</si>
  <si>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</si>
  <si>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</si>
  <si>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</si>
  <si>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</si>
  <si>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</si>
  <si>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</si>
  <si>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</si>
  <si>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</si>
  <si>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</si>
  <si>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</si>
  <si>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</si>
  <si>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</si>
  <si>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</si>
  <si>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</si>
  <si>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</si>
  <si>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</si>
  <si>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</si>
  <si>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</si>
  <si>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</si>
  <si>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</si>
  <si>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</si>
  <si>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</si>
  <si>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</si>
  <si>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</si>
  <si>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</si>
  <si>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</si>
  <si>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</si>
  <si>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</si>
  <si>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</si>
  <si>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</si>
  <si>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</si>
  <si>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</si>
  <si>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</si>
  <si>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</si>
  <si>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</si>
  <si>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</si>
  <si>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</si>
  <si>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</si>
  <si>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</si>
  <si>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</si>
  <si>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</si>
  <si>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</si>
  <si>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</si>
  <si>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</si>
  <si>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</si>
  <si>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</si>
  <si>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</si>
  <si>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</si>
  <si>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</si>
  <si>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</si>
  <si>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</si>
  <si>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</si>
  <si>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</si>
  <si>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</si>
  <si>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</si>
  <si>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</si>
  <si>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</si>
  <si>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</si>
  <si>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</si>
  <si>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</si>
  <si>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</si>
  <si>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</si>
  <si>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</si>
  <si>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</si>
  <si>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</si>
  <si>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</si>
  <si>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</si>
  <si>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</si>
  <si>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</si>
  <si>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</si>
  <si>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</si>
  <si>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</si>
  <si>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</si>
  <si>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</si>
  <si>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</si>
  <si>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</si>
  <si>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</si>
  <si>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</si>
  <si>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</si>
  <si>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</si>
  <si>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</si>
  <si>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</si>
  <si>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</si>
  <si>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</si>
  <si>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</si>
  <si>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</si>
  <si>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</si>
  <si>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</si>
  <si>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</si>
  <si>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</si>
  <si>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</si>
  <si>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</si>
  <si>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</si>
  <si>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</si>
  <si>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</si>
  <si>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</si>
  <si>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</si>
  <si>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</si>
  <si>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</si>
  <si>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</si>
  <si>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</si>
  <si>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</si>
  <si>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</si>
  <si>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</si>
  <si>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</si>
  <si>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</si>
  <si>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</si>
  <si>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</si>
  <si>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</si>
  <si>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</si>
  <si>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</si>
  <si>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</si>
  <si>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</si>
  <si>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</si>
  <si>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</si>
  <si>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</si>
  <si>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</si>
  <si>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</si>
  <si>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</si>
  <si>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</si>
  <si>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</si>
  <si>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</si>
  <si>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</si>
  <si>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</si>
  <si>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</si>
  <si>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</si>
  <si>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</si>
  <si>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</si>
  <si>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</si>
  <si>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</si>
  <si>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</si>
  <si>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</si>
  <si>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</si>
  <si>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</si>
  <si>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</si>
  <si>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</si>
  <si>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</si>
  <si>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</si>
  <si>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</si>
  <si>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</si>
  <si>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</si>
  <si>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</si>
  <si>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</si>
  <si>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</si>
  <si>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</si>
  <si>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</si>
  <si>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</si>
  <si>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</si>
  <si>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</si>
  <si>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</si>
  <si>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</si>
  <si>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</si>
  <si>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</si>
  <si>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</si>
  <si>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</si>
  <si>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</si>
  <si>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</si>
  <si>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</si>
  <si>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</si>
  <si>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</si>
  <si>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</si>
  <si>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</si>
  <si>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</si>
  <si>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</si>
  <si>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</si>
  <si>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</si>
  <si>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</si>
  <si>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</si>
  <si>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</si>
  <si>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</si>
  <si>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</si>
  <si>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</si>
  <si>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</si>
  <si>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</si>
  <si>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</si>
  <si>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</si>
  <si>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</si>
  <si>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</si>
  <si>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</si>
  <si>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</si>
  <si>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</si>
  <si>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</si>
  <si>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</si>
  <si>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</si>
  <si>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</si>
  <si>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</si>
  <si>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</si>
  <si>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</si>
  <si>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</si>
  <si>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</si>
  <si>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</si>
  <si>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</si>
  <si>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</si>
  <si>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</si>
  <si>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</si>
  <si>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</si>
  <si>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</si>
  <si>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</si>
  <si>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</si>
  <si>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</si>
  <si>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</si>
  <si>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</si>
  <si>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</si>
  <si>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</si>
  <si>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</si>
  <si>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</si>
  <si>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</si>
  <si>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</si>
  <si>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</si>
  <si>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</si>
  <si>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</si>
  <si>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</si>
  <si>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</si>
  <si>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</si>
  <si>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</si>
  <si>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</si>
  <si>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</si>
  <si>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</si>
  <si>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</si>
  <si>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</si>
  <si>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</si>
  <si>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</si>
  <si>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</si>
  <si>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</si>
  <si>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</si>
  <si>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</si>
  <si>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</si>
  <si>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</si>
  <si>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</si>
  <si>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</si>
  <si>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</si>
  <si>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</si>
  <si>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</si>
  <si>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</si>
  <si>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</si>
  <si>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</si>
  <si>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</si>
  <si>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</si>
  <si>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</si>
  <si>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</si>
  <si>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</si>
  <si>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</si>
  <si>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</si>
  <si>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</si>
  <si>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</si>
  <si>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</si>
  <si>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</si>
  <si>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</si>
  <si>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</si>
  <si>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</si>
  <si>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</si>
  <si>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</si>
  <si>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</si>
  <si>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</si>
  <si>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</si>
  <si>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</si>
  <si>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</si>
  <si>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</si>
  <si>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</si>
  <si>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</si>
  <si>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</si>
  <si>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</si>
  <si>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</si>
  <si>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</si>
  <si>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</si>
  <si>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</si>
  <si>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</si>
  <si>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</si>
  <si>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</si>
  <si>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</si>
  <si>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</si>
  <si>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</si>
  <si>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</si>
  <si>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</si>
  <si>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</si>
  <si>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</si>
  <si>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</si>
  <si>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</si>
  <si>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</si>
  <si>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</si>
  <si>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</si>
  <si>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</si>
  <si>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</si>
  <si>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</si>
  <si>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</si>
  <si>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</si>
  <si>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</si>
  <si>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</si>
  <si>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</si>
  <si>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</si>
  <si>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</si>
  <si>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</si>
  <si>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</si>
  <si>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</si>
  <si>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</si>
  <si>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</si>
  <si>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</si>
  <si>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</si>
  <si>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</si>
  <si>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</si>
  <si>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</si>
  <si>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</si>
  <si>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</si>
  <si>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</si>
  <si>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</si>
  <si>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</si>
  <si>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</si>
  <si>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</si>
  <si>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</si>
  <si>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</si>
  <si>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</si>
  <si>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</si>
  <si>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</si>
  <si>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</si>
  <si>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</si>
  <si>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</si>
  <si>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</si>
  <si>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</si>
  <si>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</si>
  <si>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</si>
  <si>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</si>
  <si>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</si>
  <si>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</si>
  <si>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</si>
  <si>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</si>
  <si>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</si>
  <si>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</si>
  <si>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</si>
  <si>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</si>
  <si>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</si>
  <si>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</si>
  <si>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</si>
  <si>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</si>
  <si>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</si>
  <si>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</si>
  <si>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</si>
  <si>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</si>
  <si>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</si>
  <si>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</si>
  <si>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</si>
  <si>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</si>
  <si>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</si>
  <si>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</si>
  <si>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</si>
  <si>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</si>
  <si>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</si>
  <si>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</si>
  <si>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</si>
  <si>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</si>
  <si>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</si>
  <si>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</si>
  <si>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</si>
  <si>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</si>
  <si>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</si>
  <si>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</si>
  <si>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</si>
  <si>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</si>
  <si>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</si>
  <si>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</si>
  <si>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</si>
  <si>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</si>
  <si>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</si>
  <si>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</si>
  <si>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</si>
  <si>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</si>
  <si>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</si>
  <si>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</si>
  <si>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</si>
  <si>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</si>
  <si>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</si>
  <si>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</si>
  <si>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</si>
  <si>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</si>
  <si>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</si>
  <si>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</si>
  <si>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</si>
  <si>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</si>
  <si>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</si>
  <si>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</si>
  <si>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</si>
  <si>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</si>
  <si>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</si>
  <si>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</si>
  <si>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</si>
  <si>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</si>
  <si>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</si>
  <si>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</si>
  <si>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</si>
  <si>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</si>
  <si>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</si>
  <si>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</si>
  <si>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</si>
  <si>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</si>
  <si>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</si>
  <si>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</si>
  <si>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</si>
  <si>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</si>
  <si>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</si>
  <si>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</si>
  <si>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</si>
  <si>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</si>
  <si>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</si>
  <si>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</si>
  <si>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</si>
  <si>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</si>
  <si>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</si>
  <si>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</si>
  <si>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</si>
  <si>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</si>
  <si>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</si>
  <si>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</si>
  <si>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</si>
  <si>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</si>
  <si>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</si>
  <si>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</si>
  <si>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</si>
  <si>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</si>
  <si>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</si>
  <si>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</si>
  <si>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</si>
  <si>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</si>
  <si>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</si>
  <si>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</si>
  <si>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</si>
  <si>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</si>
  <si>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</si>
  <si>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</si>
  <si>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</si>
  <si>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</si>
  <si>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</si>
  <si>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</si>
  <si>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</si>
  <si>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</si>
  <si>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</si>
  <si>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</si>
  <si>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</si>
  <si>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</si>
  <si>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</si>
  <si>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</si>
  <si>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</si>
  <si>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</si>
  <si>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</si>
  <si>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</si>
  <si>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</si>
  <si>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</si>
  <si>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</si>
  <si>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</si>
  <si>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</si>
  <si>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</si>
  <si>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</si>
  <si>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</si>
  <si>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</si>
  <si>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</si>
  <si>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</si>
  <si>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</si>
  <si>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</si>
  <si>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</si>
  <si>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</si>
  <si>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</si>
  <si>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</si>
  <si>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</si>
  <si>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</si>
  <si>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</si>
  <si>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</si>
  <si>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</si>
  <si>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</si>
  <si>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</si>
  <si>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</si>
  <si>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</si>
  <si>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</si>
  <si>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</si>
  <si>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</si>
  <si>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</si>
  <si>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</si>
  <si>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</si>
  <si>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</si>
  <si>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</si>
  <si>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</si>
  <si>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</si>
  <si>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</si>
  <si>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</si>
  <si>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</si>
  <si>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</si>
  <si>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</si>
  <si>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</si>
  <si>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</si>
  <si>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</si>
  <si>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</si>
  <si>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</si>
  <si>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</si>
  <si>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</si>
  <si>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</si>
  <si>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</si>
  <si>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</si>
  <si>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</si>
  <si>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</si>
  <si>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</si>
  <si>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</si>
  <si>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</si>
  <si>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</si>
  <si>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</si>
  <si>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</si>
  <si>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</si>
  <si>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</si>
  <si>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</si>
  <si>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</si>
  <si>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</si>
  <si>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</si>
  <si>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</si>
  <si>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</si>
  <si>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</si>
  <si>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</si>
  <si>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</si>
  <si>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</si>
  <si>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</si>
  <si>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</si>
  <si>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</si>
  <si>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</si>
  <si>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</si>
  <si>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</si>
  <si>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</si>
  <si>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</si>
  <si>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</si>
  <si>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</si>
  <si>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</si>
  <si>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</si>
  <si>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</si>
  <si>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</si>
  <si>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</si>
  <si>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</si>
  <si>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</si>
  <si>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</si>
  <si>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</si>
  <si>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</si>
  <si>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</si>
  <si>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</si>
  <si>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</si>
  <si>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</si>
  <si>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</si>
  <si>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</si>
  <si>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</si>
  <si>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</si>
  <si>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</si>
  <si>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</si>
  <si>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</si>
  <si>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</si>
  <si>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</si>
  <si>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</si>
  <si>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</si>
  <si>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</si>
  <si>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</si>
  <si>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</si>
  <si>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</si>
  <si>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</si>
  <si>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</si>
  <si>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</si>
  <si>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</si>
  <si>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</si>
  <si>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</si>
  <si>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</si>
  <si>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</si>
  <si>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</si>
  <si>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</si>
  <si>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</si>
  <si>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</si>
  <si>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</si>
  <si>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</si>
  <si>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</si>
  <si>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</si>
  <si>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</si>
  <si>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</si>
  <si>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</si>
  <si>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</si>
  <si>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</si>
  <si>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</si>
  <si>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</si>
  <si>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</si>
  <si>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</si>
  <si>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</si>
  <si>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</si>
  <si>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</si>
  <si>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</si>
  <si>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</si>
  <si>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</si>
  <si>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</si>
  <si>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</si>
  <si>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</si>
  <si>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</si>
  <si>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</si>
  <si>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</si>
  <si>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</si>
  <si>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</si>
  <si>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</si>
  <si>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</si>
  <si>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</si>
  <si>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</si>
  <si>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</si>
  <si>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</si>
  <si>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</si>
  <si>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</si>
  <si>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</si>
  <si>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</si>
  <si>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</si>
  <si>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</si>
  <si>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</si>
  <si>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</si>
  <si>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</si>
  <si>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</si>
  <si>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</si>
  <si>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</si>
  <si>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</si>
  <si>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</si>
  <si>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</si>
  <si>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</si>
  <si>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</si>
  <si>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</si>
  <si>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</si>
  <si>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</si>
  <si>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</si>
  <si>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</si>
  <si>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</si>
  <si>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</si>
  <si>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</si>
  <si>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</si>
  <si>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</si>
  <si>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</si>
  <si>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</si>
  <si>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</si>
  <si>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</si>
  <si>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</si>
  <si>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</si>
  <si>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</si>
  <si>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</si>
  <si>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</si>
  <si>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</si>
  <si>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</si>
  <si>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</si>
  <si>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</si>
  <si>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</si>
  <si>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</si>
  <si>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</si>
  <si>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</si>
  <si>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</si>
  <si>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</si>
  <si>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</si>
  <si>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</si>
  <si>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</si>
  <si>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</si>
  <si>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</si>
  <si>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</si>
  <si>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</si>
  <si>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</si>
  <si>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</si>
  <si>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</si>
  <si>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</si>
  <si>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</si>
  <si>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</si>
  <si>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</si>
  <si>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</si>
  <si>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</si>
  <si>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</si>
  <si>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</si>
  <si>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</si>
  <si>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</si>
  <si>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</si>
  <si>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</si>
  <si>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</si>
  <si>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</si>
  <si>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</si>
  <si>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</si>
  <si>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</si>
  <si>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</si>
  <si>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</si>
  <si>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</si>
  <si>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</si>
  <si>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</si>
  <si>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</si>
  <si>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</si>
  <si>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</si>
  <si>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</si>
  <si>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</si>
  <si>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</si>
  <si>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</si>
  <si>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</si>
  <si>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</si>
  <si>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</si>
  <si>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</si>
  <si>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</si>
  <si>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</si>
  <si>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</si>
  <si>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</si>
  <si>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</si>
  <si>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</si>
  <si>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</si>
  <si>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</si>
  <si>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</si>
  <si>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</si>
  <si>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</si>
  <si>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</si>
  <si>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</si>
  <si>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</si>
  <si>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</si>
  <si>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</si>
  <si>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</si>
  <si>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</si>
  <si>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</si>
  <si>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</si>
  <si>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</si>
  <si>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</si>
  <si>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</si>
  <si>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</si>
  <si>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</si>
  <si>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</si>
  <si>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</si>
  <si>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</si>
  <si>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</si>
  <si>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</si>
  <si>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</si>
  <si>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</si>
  <si>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</si>
  <si>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</si>
  <si>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</si>
  <si>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</si>
  <si>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</si>
  <si>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</si>
  <si>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</si>
  <si>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</si>
  <si>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</si>
  <si>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</si>
  <si>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</si>
  <si>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</si>
  <si>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</si>
  <si>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</si>
  <si>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</si>
  <si>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</si>
  <si>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</si>
  <si>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</si>
  <si>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</si>
  <si>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</si>
  <si>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</si>
  <si>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</si>
  <si>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</si>
  <si>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</si>
  <si>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</si>
  <si>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</si>
  <si>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</si>
  <si>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</si>
  <si>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</si>
  <si>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</si>
  <si>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</si>
  <si>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</si>
  <si>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</si>
  <si>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</si>
  <si>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</si>
  <si>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</si>
  <si>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</si>
  <si>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</si>
  <si>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</si>
  <si>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</si>
  <si>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</si>
  <si>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</si>
  <si>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</si>
  <si>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</si>
  <si>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</si>
  <si>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</si>
  <si>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</si>
  <si>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</si>
  <si>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</si>
  <si>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</si>
  <si>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</si>
  <si>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</si>
  <si>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</si>
  <si>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</si>
  <si>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</si>
  <si>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</si>
  <si>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</si>
  <si>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</si>
  <si>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</si>
  <si>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</si>
  <si>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</si>
  <si>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</si>
  <si>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</si>
  <si>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</si>
  <si>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</si>
  <si>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</si>
  <si>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</si>
  <si>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</si>
  <si>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</si>
  <si>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</si>
  <si>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</si>
  <si>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</si>
  <si>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</si>
  <si>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</si>
  <si>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</si>
  <si>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</si>
  <si>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</si>
  <si>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</si>
  <si>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</si>
  <si>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</si>
  <si>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</si>
  <si>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</si>
  <si>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</si>
  <si>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</si>
  <si>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</si>
  <si>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</si>
  <si>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</si>
  <si>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</si>
  <si>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</si>
  <si>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</si>
  <si>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</si>
  <si>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</si>
  <si>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</si>
  <si>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</si>
  <si>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</si>
  <si>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</si>
  <si>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</si>
  <si>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</si>
  <si>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</si>
  <si>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</si>
  <si>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</si>
  <si>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</si>
  <si>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</si>
  <si>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</si>
  <si>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</si>
  <si>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</si>
  <si>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</si>
  <si>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</si>
  <si>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</si>
  <si>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</si>
  <si>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</si>
  <si>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</si>
  <si>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</si>
  <si>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</si>
  <si>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</si>
  <si>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</si>
  <si>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</si>
  <si>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</si>
  <si>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</si>
  <si>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</si>
  <si>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</si>
  <si>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</si>
  <si>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</si>
  <si>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</si>
  <si>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</si>
  <si>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</si>
  <si>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</si>
  <si>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</si>
  <si>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</si>
  <si>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</si>
  <si>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</si>
  <si>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</si>
  <si>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</si>
  <si>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</si>
  <si>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</si>
  <si>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</si>
  <si>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</si>
  <si>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</si>
  <si>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</si>
  <si>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</si>
  <si>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</si>
  <si>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</si>
  <si>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</si>
  <si>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</si>
  <si>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</si>
  <si>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</si>
  <si>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</si>
  <si>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</si>
  <si>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</si>
  <si>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</si>
  <si>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</si>
  <si>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</si>
  <si>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</si>
  <si>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</si>
  <si>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</si>
  <si>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</si>
  <si>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</si>
  <si>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</si>
  <si>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</si>
  <si>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</si>
  <si>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</si>
  <si>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</si>
  <si>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</si>
  <si>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</si>
  <si>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</si>
  <si>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</si>
  <si>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</si>
  <si>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</si>
  <si>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</si>
  <si>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</si>
  <si>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</si>
  <si>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</si>
  <si>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</si>
  <si>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</si>
  <si>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</si>
  <si>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</si>
  <si>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</si>
  <si>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</si>
  <si>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</si>
  <si>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</si>
  <si>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</si>
  <si>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</si>
  <si>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</si>
  <si>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</si>
  <si>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</si>
  <si>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</si>
  <si>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</si>
  <si>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</si>
  <si>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</si>
  <si>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</si>
  <si>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</si>
  <si>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</si>
  <si>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</si>
  <si>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</si>
  <si>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</si>
  <si>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</si>
  <si>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</si>
  <si>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</si>
  <si>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</si>
  <si>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</si>
  <si>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</si>
  <si>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</si>
  <si>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</si>
  <si>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</si>
  <si>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</si>
  <si>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</si>
  <si>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</si>
  <si>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</si>
  <si>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</si>
  <si>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</si>
  <si>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</si>
  <si>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</si>
  <si>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</si>
  <si>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</si>
  <si>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</si>
  <si>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</si>
  <si>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</si>
  <si>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</si>
  <si>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</si>
  <si>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</si>
  <si>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</si>
  <si>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</si>
  <si>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</si>
  <si>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</si>
  <si>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</si>
  <si>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</si>
  <si>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</si>
  <si>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</si>
  <si>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</si>
  <si>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</si>
  <si>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</si>
  <si>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</si>
  <si>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</si>
  <si>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</si>
  <si>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</si>
  <si>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</si>
  <si>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</si>
  <si>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</si>
  <si>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</si>
  <si>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</si>
  <si>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</si>
  <si>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</si>
  <si>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</si>
  <si>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</si>
  <si>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</si>
  <si>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</si>
  <si>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</si>
  <si>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</si>
  <si>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</si>
  <si>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</si>
  <si>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</si>
  <si>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</si>
  <si>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</si>
  <si>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</si>
  <si>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</si>
  <si>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</si>
  <si>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</si>
  <si>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</si>
  <si>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</si>
  <si>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</si>
  <si>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</si>
  <si>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</si>
  <si>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</si>
  <si>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</si>
  <si>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</si>
  <si>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</si>
  <si>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</si>
  <si>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</si>
  <si>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</si>
  <si>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</si>
  <si>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</si>
  <si>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</si>
  <si>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</si>
  <si>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</si>
  <si>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</si>
  <si>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</si>
  <si>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</si>
  <si>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</si>
  <si>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</si>
  <si>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</si>
  <si>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</si>
  <si>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</si>
  <si>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</si>
  <si>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</si>
  <si>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</si>
  <si>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</si>
  <si>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</si>
  <si>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</si>
  <si>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</si>
  <si>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</si>
  <si>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</si>
  <si>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</si>
  <si>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</si>
  <si>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</si>
  <si>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</si>
  <si>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</si>
  <si>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</si>
  <si>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</si>
  <si>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</si>
  <si>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</si>
  <si>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</si>
  <si>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</si>
  <si>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</si>
  <si>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</si>
  <si>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</si>
  <si>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</si>
  <si>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</si>
  <si>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</si>
  <si>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</si>
  <si>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</si>
  <si>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</si>
  <si>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</si>
  <si>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</si>
  <si>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</si>
  <si>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</si>
  <si>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</si>
  <si>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</si>
  <si>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</si>
  <si>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</si>
  <si>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</si>
  <si>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</si>
  <si>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</si>
  <si>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</si>
  <si>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</si>
  <si>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</si>
  <si>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</si>
  <si>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</si>
  <si>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</si>
  <si>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</si>
  <si>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</si>
  <si>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</si>
  <si>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</si>
  <si>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</si>
  <si>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</si>
  <si>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</si>
  <si>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</si>
  <si>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</si>
  <si>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</si>
  <si>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</si>
  <si>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</si>
  <si>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</si>
  <si>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</si>
  <si>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</si>
  <si>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</si>
  <si>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</si>
  <si>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</si>
  <si>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</si>
  <si>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</si>
  <si>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</si>
  <si>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</si>
  <si>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</si>
  <si>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</si>
  <si>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</si>
  <si>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</si>
  <si>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</si>
  <si>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</si>
  <si>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</si>
  <si>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</si>
  <si>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</si>
  <si>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</si>
  <si>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</si>
  <si>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</si>
  <si>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</si>
  <si>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</si>
  <si>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</si>
  <si>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</si>
  <si>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</si>
  <si>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</si>
  <si>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</si>
  <si>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</si>
  <si>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</si>
  <si>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</si>
  <si>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</si>
  <si>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</si>
  <si>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</si>
  <si>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</si>
  <si>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</si>
  <si>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</si>
  <si>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</si>
  <si>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</si>
  <si>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</si>
  <si>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</si>
  <si>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</si>
  <si>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</si>
  <si>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</si>
  <si>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</si>
  <si>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</si>
  <si>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</si>
  <si>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</si>
  <si>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</si>
  <si>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</si>
  <si>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</si>
  <si>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</si>
  <si>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</si>
  <si>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</si>
  <si>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</si>
  <si>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</si>
  <si>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</si>
  <si>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</si>
  <si>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</si>
  <si>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</si>
  <si>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</si>
  <si>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</si>
  <si>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</si>
  <si>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</si>
  <si>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</si>
  <si>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</si>
  <si>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</si>
  <si>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</si>
  <si>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</si>
  <si>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</si>
  <si>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</si>
  <si>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</si>
  <si>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</si>
  <si>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</si>
  <si>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</si>
  <si>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</si>
  <si>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</si>
  <si>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</si>
  <si>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</si>
  <si>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</si>
  <si>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</si>
  <si>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</si>
  <si>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</si>
  <si>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</si>
  <si>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</si>
  <si>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</si>
  <si>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</si>
  <si>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</si>
  <si>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</si>
  <si>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</si>
  <si>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</si>
  <si>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</si>
  <si>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</si>
  <si>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</si>
  <si>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</si>
  <si>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</si>
  <si>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</si>
  <si>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</si>
  <si>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</si>
  <si>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</si>
  <si>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</si>
  <si>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</si>
  <si>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</si>
  <si>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</si>
  <si>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</si>
  <si>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</si>
  <si>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</si>
  <si>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</si>
  <si>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</si>
  <si>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</si>
  <si>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</si>
  <si>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</si>
  <si>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</si>
  <si>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</si>
  <si>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</si>
  <si>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</si>
  <si>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</si>
  <si>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</si>
  <si>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</si>
  <si>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</si>
  <si>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</si>
  <si>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</si>
  <si>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</si>
  <si>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</si>
  <si>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</si>
  <si>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</si>
  <si>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</si>
  <si>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</si>
  <si>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</si>
  <si>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</si>
  <si>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</si>
  <si>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</si>
  <si>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</si>
  <si>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</si>
  <si>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</si>
  <si>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</si>
  <si>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</si>
  <si>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</si>
  <si>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</si>
  <si>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</si>
  <si>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</si>
  <si>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</si>
  <si>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</si>
  <si>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</si>
  <si>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</si>
  <si>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</si>
  <si>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</si>
  <si>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</si>
  <si>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</si>
  <si>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</si>
  <si>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</si>
  <si>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</si>
  <si>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</si>
  <si>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</si>
  <si>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</si>
  <si>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</si>
  <si>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</si>
  <si>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</si>
  <si>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</si>
  <si>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</si>
  <si>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</si>
  <si>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</si>
  <si>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</si>
  <si>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</si>
  <si>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</si>
  <si>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</si>
  <si>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</si>
  <si>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</si>
  <si>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</si>
  <si>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</si>
  <si>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</si>
  <si>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</si>
  <si>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</si>
  <si>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</si>
  <si>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</si>
  <si>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</si>
  <si>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</si>
  <si>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</si>
  <si>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</si>
  <si>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</si>
  <si>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</si>
  <si>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</si>
  <si>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</si>
  <si>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</si>
  <si>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</si>
  <si>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</si>
  <si>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</si>
  <si>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</si>
  <si>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</si>
  <si>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</si>
  <si>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</si>
  <si>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</si>
  <si>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</si>
  <si>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</si>
  <si>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</si>
  <si>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</si>
  <si>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</si>
  <si>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</si>
  <si>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</si>
  <si>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</si>
  <si>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</si>
  <si>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</si>
  <si>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</si>
  <si>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</si>
  <si>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</si>
  <si>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</si>
  <si>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</si>
  <si>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</si>
  <si>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</si>
  <si>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</si>
  <si>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</si>
  <si>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</si>
  <si>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</si>
  <si>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</si>
  <si>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</si>
  <si>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</si>
  <si>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</si>
  <si>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</si>
  <si>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</si>
  <si>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</si>
  <si>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</si>
  <si>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</si>
  <si>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</si>
  <si>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</si>
  <si>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</si>
  <si>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</si>
  <si>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</si>
  <si>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</si>
  <si>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</si>
  <si>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</si>
  <si>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</si>
  <si>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</si>
  <si>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</si>
  <si>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</si>
  <si>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</si>
  <si>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</si>
  <si>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</si>
  <si>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</si>
  <si>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</si>
  <si>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</si>
  <si>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</si>
  <si>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</si>
  <si>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</si>
  <si>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</si>
  <si>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</si>
  <si>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</si>
  <si>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</si>
  <si>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</si>
  <si>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</si>
  <si>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</si>
  <si>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</si>
  <si>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</si>
  <si>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</si>
  <si>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</si>
  <si>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</si>
  <si>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</si>
  <si>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</si>
  <si>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</si>
  <si>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</si>
  <si>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</si>
  <si>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</si>
  <si>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</si>
  <si>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</si>
  <si>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</si>
  <si>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</si>
  <si>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</si>
  <si>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</si>
  <si>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</si>
  <si>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</si>
  <si>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</si>
  <si>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</si>
  <si>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</si>
  <si>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</si>
  <si>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</si>
  <si>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</si>
  <si>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</si>
  <si>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</si>
  <si>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</si>
  <si>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</si>
  <si>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</si>
  <si>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</si>
  <si>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</si>
  <si>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</si>
  <si>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</si>
  <si>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</si>
  <si>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</si>
  <si>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</si>
  <si>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</si>
  <si>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</si>
  <si>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</si>
  <si>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</si>
  <si>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</si>
  <si>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</si>
  <si>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</si>
  <si>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</si>
  <si>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</si>
  <si>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</si>
  <si>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</si>
  <si>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</si>
  <si>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</si>
  <si>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</si>
  <si>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</si>
  <si>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</si>
  <si>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</si>
  <si>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</si>
  <si>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</si>
  <si>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</si>
  <si>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</si>
  <si>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</si>
  <si>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</si>
  <si>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</si>
  <si>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</si>
  <si>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</si>
  <si>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</si>
  <si>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</si>
  <si>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</si>
  <si>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</si>
  <si>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</si>
  <si>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</si>
  <si>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</si>
  <si>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</si>
  <si>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</si>
  <si>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</si>
  <si>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</si>
  <si>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</si>
  <si>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</si>
  <si>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</si>
  <si>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</si>
  <si>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</si>
  <si>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</si>
  <si>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</si>
  <si>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</si>
  <si>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</si>
  <si>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</si>
  <si>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</si>
  <si>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</si>
  <si>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</si>
  <si>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</si>
  <si>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</si>
  <si>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</si>
  <si>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</si>
  <si>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</si>
  <si>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</si>
  <si>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</si>
  <si>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</si>
  <si>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</si>
  <si>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</si>
  <si>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</si>
  <si>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</si>
  <si>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</si>
  <si>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</si>
  <si>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</si>
  <si>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</si>
  <si>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</si>
  <si>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</si>
  <si>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</si>
  <si>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</si>
  <si>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</si>
  <si>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</si>
  <si>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</si>
  <si>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</si>
  <si>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</si>
  <si>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</si>
  <si>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</si>
  <si>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</si>
  <si>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</si>
  <si>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</si>
  <si>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</si>
  <si>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</si>
  <si>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</si>
  <si>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</si>
  <si>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</si>
  <si>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</si>
  <si>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</si>
  <si>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</si>
  <si>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</si>
  <si>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</si>
  <si>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</si>
  <si>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</si>
  <si>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</si>
  <si>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</si>
  <si>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</si>
  <si>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</si>
  <si>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</si>
  <si>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</si>
  <si>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</si>
  <si>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</si>
  <si>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</si>
  <si>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</si>
  <si>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</si>
  <si>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</si>
  <si>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</si>
  <si>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</si>
  <si>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</si>
  <si>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</si>
  <si>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</si>
  <si>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</si>
  <si>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</si>
  <si>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</si>
  <si>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</si>
  <si>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</si>
  <si>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</si>
  <si>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</si>
  <si>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</si>
  <si>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</si>
  <si>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</si>
  <si>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</si>
  <si>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</si>
  <si>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</si>
  <si>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</si>
  <si>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</si>
  <si>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</si>
  <si>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</si>
  <si>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</si>
  <si>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</si>
  <si>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</si>
  <si>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</si>
  <si>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</si>
  <si>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</si>
  <si>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</si>
  <si>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</si>
  <si>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</si>
  <si>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</si>
  <si>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</si>
  <si>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</si>
  <si>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</si>
  <si>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</si>
  <si>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</si>
  <si>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</si>
  <si>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</si>
  <si>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</si>
  <si>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</si>
  <si>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</si>
  <si>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</si>
  <si>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</si>
  <si>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</si>
  <si>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</si>
  <si>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</si>
  <si>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</si>
  <si>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</si>
  <si>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</si>
  <si>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</si>
  <si>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</si>
  <si>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</si>
  <si>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</si>
  <si>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</si>
  <si>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</si>
  <si>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</si>
  <si>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</si>
  <si>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</si>
  <si>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</si>
  <si>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</si>
  <si>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</si>
  <si>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</si>
  <si>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</si>
  <si>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</si>
  <si>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</si>
  <si>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</si>
  <si>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</si>
  <si>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</si>
  <si>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</si>
  <si>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</si>
  <si>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</si>
  <si>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</si>
  <si>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</si>
  <si>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</si>
  <si>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</si>
  <si>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</si>
  <si>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</si>
  <si>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</si>
  <si>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</si>
  <si>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</si>
  <si>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</si>
  <si>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</si>
  <si>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</si>
  <si>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</si>
  <si>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</si>
  <si>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</si>
  <si>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</si>
  <si>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</si>
  <si>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</si>
  <si>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</si>
  <si>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</si>
  <si>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</si>
  <si>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</si>
  <si>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</si>
  <si>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</si>
  <si>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</si>
  <si>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</si>
  <si>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</si>
  <si>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</si>
  <si>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</si>
  <si>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</si>
  <si>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</si>
  <si>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</si>
  <si>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</si>
  <si>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</si>
  <si>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</si>
  <si>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</si>
  <si>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</si>
  <si>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</si>
  <si>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</si>
  <si>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</si>
  <si>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</si>
  <si>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</si>
  <si>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</si>
  <si>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</si>
  <si>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</si>
  <si>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</si>
  <si>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</si>
  <si>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</si>
  <si>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</si>
  <si>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</si>
  <si>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</si>
  <si>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</si>
  <si>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</si>
  <si>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</si>
  <si>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</si>
  <si>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</si>
  <si>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</si>
  <si>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</si>
  <si>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</si>
  <si>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</si>
  <si>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</si>
  <si>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</si>
  <si>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</si>
  <si>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</si>
  <si>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</si>
  <si>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</si>
  <si>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</si>
  <si>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</si>
  <si>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</si>
  <si>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</si>
  <si>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</si>
  <si>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</si>
  <si>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</si>
  <si>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</si>
  <si>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</si>
  <si>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</si>
  <si>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</si>
  <si>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</si>
  <si>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</si>
  <si>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</si>
  <si>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</si>
  <si>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</si>
  <si>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</si>
  <si>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</si>
  <si>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</si>
  <si>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</si>
  <si>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</si>
  <si>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</si>
  <si>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</si>
  <si>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</si>
  <si>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</si>
  <si>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</si>
  <si>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</si>
  <si>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</si>
  <si>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</si>
  <si>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</si>
  <si>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</si>
  <si>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</si>
  <si>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</si>
  <si>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</si>
  <si>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</si>
  <si>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</si>
  <si>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</si>
  <si>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</si>
  <si>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</si>
  <si>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</si>
  <si>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</si>
  <si>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</si>
  <si>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</si>
  <si>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</si>
  <si>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</si>
  <si>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</si>
  <si>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</si>
  <si>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</si>
  <si>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</si>
  <si>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</si>
  <si>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</si>
  <si>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</si>
  <si>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</si>
  <si>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</si>
  <si>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</si>
  <si>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</si>
  <si>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</si>
  <si>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</si>
  <si>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</si>
  <si>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</si>
  <si>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</si>
  <si>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</si>
  <si>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</si>
  <si>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</si>
  <si>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</si>
  <si>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</si>
  <si>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</si>
  <si>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</si>
  <si>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</si>
  <si>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</si>
  <si>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</si>
  <si>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</si>
  <si>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</si>
  <si>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</si>
  <si>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</si>
  <si>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</si>
  <si>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</si>
  <si>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</si>
  <si>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</si>
  <si>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</si>
  <si>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</si>
  <si>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</si>
  <si>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</si>
  <si>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</si>
  <si>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</si>
  <si>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</si>
  <si>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</si>
  <si>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</si>
  <si>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</si>
  <si>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</si>
  <si>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</si>
  <si>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</si>
  <si>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</si>
  <si>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</si>
  <si>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</si>
  <si>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</si>
  <si>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</si>
  <si>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</si>
  <si>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</si>
  <si>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</si>
  <si>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</si>
  <si>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</si>
  <si>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</si>
  <si>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</si>
  <si>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</si>
  <si>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</si>
  <si>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</si>
  <si>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</si>
  <si>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</si>
  <si>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</si>
  <si>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</si>
  <si>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</si>
  <si>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</si>
  <si>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</si>
  <si>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</si>
  <si>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</si>
  <si>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</si>
  <si>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</si>
  <si>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</si>
  <si>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</si>
  <si>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</si>
  <si>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</si>
  <si>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</si>
  <si>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</si>
  <si>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</si>
  <si>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</si>
  <si>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</si>
  <si>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</si>
  <si>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</si>
  <si>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</si>
  <si>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</si>
  <si>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</si>
  <si>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</si>
  <si>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</si>
  <si>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</si>
  <si>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</si>
  <si>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</si>
  <si>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</si>
  <si>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</si>
  <si>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</si>
  <si>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</si>
  <si>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</si>
  <si>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</si>
  <si>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</si>
  <si>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</si>
  <si>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</si>
  <si>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</si>
  <si>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</si>
  <si>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</si>
  <si>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</si>
  <si>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</si>
  <si>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</si>
  <si>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</si>
  <si>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</si>
  <si>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</si>
  <si>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</si>
  <si>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</si>
  <si>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</si>
  <si>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</si>
  <si>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</si>
  <si>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</si>
  <si>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</si>
  <si>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</si>
  <si>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</si>
  <si>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</si>
  <si>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</si>
  <si>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</si>
  <si>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</si>
  <si>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</si>
  <si>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</si>
  <si>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</si>
  <si>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</si>
  <si>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</si>
  <si>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</si>
  <si>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</si>
  <si>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</si>
  <si>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</si>
  <si>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</si>
  <si>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</si>
  <si>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</si>
  <si>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</si>
  <si>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</si>
  <si>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</si>
  <si>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</si>
  <si>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</si>
  <si>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</si>
  <si>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</si>
  <si>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</si>
  <si>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</si>
  <si>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</si>
  <si>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</si>
  <si>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</si>
  <si>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</si>
  <si>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</si>
  <si>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</si>
  <si>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</si>
  <si>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</si>
  <si>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</si>
  <si>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</si>
  <si>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</si>
  <si>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</si>
  <si>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</si>
  <si>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</si>
  <si>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</si>
  <si>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</si>
  <si>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</si>
  <si>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</si>
  <si>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</si>
  <si>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</si>
  <si>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</si>
  <si>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</si>
  <si>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</si>
  <si>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</si>
  <si>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</si>
  <si>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</si>
  <si>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</si>
  <si>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</si>
  <si>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</si>
  <si>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</si>
  <si>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</si>
  <si>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</si>
  <si>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</si>
  <si>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</si>
  <si>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</si>
  <si>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</si>
  <si>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</si>
  <si>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</si>
  <si>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</si>
  <si>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</si>
  <si>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</si>
  <si>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</si>
  <si>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</si>
  <si>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</si>
  <si>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</si>
  <si>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</si>
  <si>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</si>
  <si>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</si>
  <si>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</si>
  <si>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</si>
  <si>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</si>
  <si>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</si>
  <si>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</si>
  <si>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</si>
  <si>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</si>
  <si>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</si>
  <si>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</si>
  <si>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</si>
  <si>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</si>
  <si>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</si>
  <si>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</si>
  <si>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</si>
  <si>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</si>
  <si>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</si>
  <si>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</si>
  <si>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</si>
  <si>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</si>
  <si>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</si>
  <si>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</si>
  <si>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</si>
  <si>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</si>
  <si>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</si>
  <si>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</si>
  <si>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</si>
  <si>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</si>
  <si>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</si>
  <si>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</si>
  <si>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</si>
  <si>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</si>
  <si>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</si>
  <si>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</si>
  <si>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</si>
  <si>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</si>
  <si>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</si>
  <si>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</si>
  <si>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</si>
  <si>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</si>
  <si>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</si>
  <si>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</si>
  <si>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</si>
  <si>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</si>
  <si>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</si>
  <si>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</si>
  <si>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</si>
  <si>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</si>
  <si>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</si>
  <si>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</si>
  <si>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</si>
  <si>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</si>
  <si>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</si>
  <si>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</si>
  <si>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</si>
  <si>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</si>
  <si>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</si>
  <si>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</si>
  <si>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</si>
  <si>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</si>
  <si>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</si>
  <si>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</si>
  <si>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</si>
  <si>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</si>
  <si>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</si>
  <si>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</si>
  <si>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</si>
  <si>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</si>
  <si>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</si>
  <si>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</si>
  <si>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</si>
  <si>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</si>
  <si>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</si>
  <si>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</si>
  <si>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</si>
  <si>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</si>
  <si>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</si>
  <si>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</si>
  <si>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</si>
  <si>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</si>
  <si>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</si>
  <si>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</si>
  <si>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</si>
  <si>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</si>
  <si>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</si>
  <si>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</si>
  <si>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</si>
  <si>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</si>
  <si>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</si>
  <si>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</si>
  <si>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</si>
  <si>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</si>
  <si>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</si>
  <si>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</si>
  <si>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</si>
  <si>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</si>
  <si>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</si>
  <si>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</si>
  <si>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</si>
  <si>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</si>
  <si>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</si>
  <si>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</si>
  <si>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</si>
  <si>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</si>
  <si>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</si>
  <si>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</si>
  <si>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</si>
  <si>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</si>
  <si>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</si>
  <si>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</si>
  <si>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</si>
  <si>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</si>
  <si>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</si>
  <si>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</si>
  <si>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</si>
  <si>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</si>
  <si>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</si>
  <si>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</si>
  <si>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</si>
  <si>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</si>
  <si>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</si>
  <si>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</si>
  <si>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</si>
  <si>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</si>
  <si>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</si>
  <si>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</si>
  <si>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</si>
  <si>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</si>
  <si>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</si>
  <si>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</si>
  <si>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</si>
  <si>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</si>
  <si>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</si>
  <si>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</si>
  <si>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</si>
  <si>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</si>
  <si>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</si>
  <si>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</si>
  <si>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</si>
  <si>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</si>
  <si>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</si>
  <si>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</si>
  <si>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</si>
  <si>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</si>
  <si>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</si>
  <si>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</si>
  <si>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</si>
  <si>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</si>
  <si>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</si>
  <si>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</si>
  <si>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</si>
  <si>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</si>
  <si>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</si>
  <si>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</si>
  <si>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</si>
  <si>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</si>
  <si>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</si>
  <si>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</si>
  <si>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</si>
  <si>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</si>
  <si>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</si>
  <si>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</si>
  <si>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</si>
  <si>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</si>
  <si>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</si>
  <si>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</si>
  <si>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</si>
  <si>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</si>
  <si>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</si>
  <si>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</si>
  <si>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</si>
  <si>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</si>
  <si>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</si>
  <si>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</si>
  <si>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</si>
  <si>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</si>
  <si>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</si>
  <si>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</si>
  <si>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</si>
  <si>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</si>
  <si>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</si>
  <si>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</si>
  <si>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</si>
  <si>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</si>
  <si>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</si>
  <si>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</si>
  <si>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</si>
  <si>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</si>
  <si>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</si>
  <si>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</si>
  <si>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</si>
  <si>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</si>
  <si>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</si>
  <si>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</si>
  <si>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</si>
  <si>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</si>
  <si>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</si>
  <si>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</si>
  <si>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</si>
  <si>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</si>
  <si>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</si>
  <si>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</si>
  <si>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</si>
  <si>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</si>
  <si>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</si>
  <si>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</si>
  <si>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</si>
  <si>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</si>
  <si>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</si>
  <si>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</si>
  <si>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</si>
  <si>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</si>
  <si>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</si>
  <si>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</si>
  <si>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</si>
  <si>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</si>
  <si>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</si>
  <si>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</si>
  <si>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</si>
  <si>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</si>
  <si>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</si>
  <si>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</si>
  <si>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</si>
  <si>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</si>
  <si>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</si>
  <si>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</si>
  <si>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</si>
  <si>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</si>
  <si>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</si>
  <si>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</si>
  <si>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</si>
  <si>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</si>
  <si>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</si>
  <si>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</si>
  <si>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</si>
  <si>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</si>
  <si>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</si>
  <si>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</si>
  <si>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</si>
  <si>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</si>
  <si>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</si>
  <si>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</si>
  <si>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</si>
  <si>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</si>
  <si>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</si>
  <si>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</si>
  <si>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</si>
  <si>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</si>
  <si>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</si>
  <si>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</si>
  <si>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</si>
  <si>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</si>
  <si>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</si>
  <si>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</si>
  <si>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</si>
  <si>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</si>
  <si>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</si>
  <si>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</si>
  <si>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</si>
  <si>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</si>
  <si>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</si>
  <si>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</si>
  <si>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</si>
  <si>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</si>
  <si>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</si>
  <si>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</si>
  <si>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</si>
  <si>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</si>
  <si>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</si>
  <si>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</si>
  <si>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</si>
  <si>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</si>
  <si>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</si>
  <si>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</si>
  <si>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</si>
  <si>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</si>
  <si>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</si>
  <si>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</si>
  <si>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</si>
  <si>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</si>
  <si>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</si>
  <si>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</si>
  <si>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</si>
  <si>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</si>
  <si>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</si>
  <si>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</si>
  <si>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</si>
  <si>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</si>
  <si>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</si>
  <si>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</si>
  <si>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</si>
  <si>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</si>
  <si>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</si>
  <si>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</si>
  <si>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</si>
  <si>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</si>
  <si>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</si>
  <si>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</si>
  <si>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</si>
  <si>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</si>
  <si>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</si>
  <si>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</si>
  <si>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</si>
  <si>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</si>
  <si>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</si>
  <si>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</si>
  <si>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</si>
  <si>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</si>
  <si>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</si>
  <si>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</si>
  <si>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</si>
  <si>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</si>
  <si>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</si>
  <si>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</si>
  <si>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</si>
  <si>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</si>
  <si>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</si>
  <si>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</si>
  <si>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</si>
  <si>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</si>
  <si>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</si>
  <si>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</si>
  <si>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</si>
  <si>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</si>
  <si>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</si>
  <si>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</si>
  <si>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</si>
  <si>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</si>
  <si>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</si>
  <si>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</si>
  <si>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</si>
  <si>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</si>
  <si>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</si>
  <si>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</si>
  <si>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</si>
  <si>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</si>
  <si>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</si>
  <si>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</si>
  <si>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</si>
  <si>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</si>
  <si>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</si>
  <si>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</si>
  <si>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</si>
  <si>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</si>
  <si>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</si>
  <si>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</si>
  <si>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</si>
  <si>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</si>
  <si>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</si>
  <si>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</si>
  <si>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</si>
  <si>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</si>
  <si>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</si>
  <si>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</si>
  <si>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</si>
  <si>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</si>
  <si>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</si>
  <si>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</si>
  <si>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</si>
  <si>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</si>
  <si>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</si>
  <si>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</si>
  <si>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</si>
  <si>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</si>
  <si>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</si>
  <si>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</si>
  <si>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</si>
  <si>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</si>
  <si>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</si>
  <si>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</si>
  <si>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</si>
  <si>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</si>
  <si>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</si>
  <si>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</si>
  <si>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</si>
  <si>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</si>
  <si>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</si>
  <si>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</si>
  <si>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</si>
  <si>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</si>
  <si>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</si>
  <si>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</si>
  <si>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</si>
  <si>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</si>
  <si>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</si>
  <si>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</si>
  <si>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</si>
  <si>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</si>
  <si>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</si>
  <si>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</si>
  <si>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</si>
  <si>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</si>
  <si>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</si>
  <si>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</si>
  <si>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</si>
  <si>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</si>
  <si>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</si>
  <si>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</si>
  <si>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</si>
  <si>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</si>
  <si>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</si>
  <si>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</si>
  <si>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</si>
  <si>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</si>
  <si>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</si>
  <si>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</si>
  <si>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</si>
  <si>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</si>
  <si>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</si>
  <si>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</si>
  <si>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</si>
  <si>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</si>
  <si>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</si>
  <si>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</si>
  <si>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</si>
  <si>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</si>
  <si>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</si>
  <si>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</si>
  <si>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</si>
  <si>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</si>
  <si>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</si>
  <si>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</si>
  <si>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</si>
  <si>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</si>
  <si>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</si>
  <si>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</si>
  <si>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</si>
  <si>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</si>
  <si>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</si>
  <si>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</si>
  <si>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</si>
  <si>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</si>
  <si>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</si>
  <si>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</si>
  <si>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</si>
  <si>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</si>
  <si>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</si>
  <si>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</si>
  <si>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</si>
  <si>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</si>
  <si>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</si>
  <si>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</si>
  <si>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</si>
  <si>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</si>
  <si>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</si>
  <si>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</si>
  <si>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</si>
  <si>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</si>
  <si>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</si>
  <si>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</si>
  <si>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</si>
  <si>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</si>
  <si>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</si>
  <si>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</si>
  <si>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</si>
  <si>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</si>
  <si>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</si>
  <si>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</si>
  <si>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</si>
  <si>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</si>
  <si>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</si>
  <si>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</si>
  <si>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</si>
  <si>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</si>
  <si>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</si>
  <si>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</si>
  <si>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</si>
  <si>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</si>
  <si>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</si>
  <si>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</si>
  <si>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</si>
  <si>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</si>
  <si>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</si>
  <si>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</si>
  <si>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</si>
  <si>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</si>
  <si>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</si>
  <si>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</si>
  <si>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</si>
  <si>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</si>
  <si>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</si>
  <si>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</si>
  <si>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</si>
  <si>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</si>
  <si>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</si>
  <si>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</si>
  <si>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</si>
  <si>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</si>
  <si>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</si>
  <si>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</si>
  <si>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</si>
  <si>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</si>
  <si>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</si>
  <si>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</si>
  <si>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</si>
  <si>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</si>
  <si>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</si>
  <si>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</si>
  <si>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</si>
  <si>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</si>
  <si>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</si>
  <si>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</si>
  <si>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</si>
  <si>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</si>
  <si>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</si>
  <si>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</si>
  <si>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</si>
  <si>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</si>
  <si>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</si>
  <si>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</si>
  <si>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</si>
  <si>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</si>
  <si>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</si>
  <si>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</si>
  <si>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</si>
  <si>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</si>
  <si>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</si>
  <si>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</si>
  <si>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</si>
  <si>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</si>
  <si>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</si>
  <si>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</si>
  <si>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</si>
  <si>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</si>
  <si>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</si>
  <si>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</si>
  <si>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</si>
  <si>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</si>
  <si>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</si>
  <si>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</si>
  <si>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</si>
  <si>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</si>
  <si>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</si>
  <si>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</si>
  <si>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</si>
  <si>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</si>
  <si>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</si>
  <si>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</si>
  <si>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</si>
  <si>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</si>
  <si>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</si>
  <si>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</si>
  <si>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</si>
  <si>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</si>
  <si>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</si>
  <si>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</si>
  <si>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</si>
  <si>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</si>
  <si>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</si>
  <si>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</si>
  <si>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</si>
  <si>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</si>
  <si>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</si>
  <si>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</si>
  <si>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</si>
  <si>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</si>
  <si>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</si>
  <si>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</si>
  <si>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</si>
  <si>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</si>
  <si>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</si>
  <si>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</si>
  <si>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</si>
  <si>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</si>
  <si>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</si>
  <si>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</si>
  <si>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</si>
  <si>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</si>
  <si>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</si>
  <si>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</si>
  <si>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</si>
  <si>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</si>
  <si>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</si>
  <si>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</si>
  <si>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</si>
  <si>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</si>
  <si>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</si>
  <si>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</si>
  <si>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</si>
  <si>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</si>
  <si>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</si>
  <si>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</si>
  <si>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</si>
  <si>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</si>
  <si>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</si>
  <si>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</si>
  <si>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</si>
  <si>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</si>
  <si>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</si>
  <si>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</si>
  <si>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</si>
  <si>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</si>
  <si>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</si>
  <si>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</si>
  <si>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</si>
  <si>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</si>
  <si>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</si>
  <si>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</si>
  <si>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</si>
  <si>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</si>
  <si>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</si>
  <si>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</si>
  <si>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</si>
  <si>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</si>
  <si>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</si>
  <si>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</si>
  <si>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</si>
  <si>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</si>
  <si>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</si>
  <si>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</si>
  <si>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</si>
  <si>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</si>
  <si>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</si>
  <si>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</si>
  <si>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</si>
  <si>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</si>
  <si>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</si>
  <si>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</si>
  <si>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</si>
  <si>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</si>
  <si>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</si>
  <si>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</si>
  <si>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</si>
  <si>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</si>
  <si>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</si>
  <si>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</si>
  <si>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</si>
  <si>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</si>
  <si>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</si>
  <si>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</si>
  <si>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</si>
  <si>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</si>
  <si>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</si>
  <si>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</si>
  <si>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</si>
  <si>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</si>
  <si>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</si>
  <si>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</si>
  <si>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</si>
  <si>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</si>
  <si>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</si>
  <si>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</si>
  <si>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</si>
  <si>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</si>
  <si>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</si>
  <si>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</si>
  <si>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</si>
  <si>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</si>
  <si>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</si>
  <si>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</si>
  <si>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</si>
  <si>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</si>
  <si>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</si>
  <si>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</si>
  <si>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</si>
  <si>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</si>
  <si>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</si>
  <si>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</si>
  <si>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</si>
  <si>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</si>
  <si>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</si>
  <si>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</si>
  <si>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</si>
  <si>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</si>
  <si>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</si>
  <si>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</si>
  <si>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</si>
  <si>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</si>
  <si>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</si>
  <si>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</si>
  <si>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</si>
  <si>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</si>
  <si>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</si>
  <si>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</si>
  <si>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</si>
  <si>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</si>
  <si>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</si>
  <si>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</si>
  <si>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</si>
  <si>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</si>
  <si>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</si>
  <si>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</si>
  <si>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</si>
  <si>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</si>
  <si>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</si>
  <si>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</si>
  <si>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</si>
  <si>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</si>
  <si>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</si>
  <si>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</si>
  <si>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</si>
  <si>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</si>
  <si>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</si>
  <si>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</si>
  <si>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</si>
  <si>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</si>
  <si>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</si>
  <si>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</si>
  <si>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</si>
  <si>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</si>
  <si>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</si>
  <si>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</si>
  <si>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</si>
  <si>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</si>
  <si>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</si>
  <si>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</si>
  <si>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</si>
  <si>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</si>
  <si>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</si>
  <si>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</si>
  <si>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</si>
  <si>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</si>
  <si>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</si>
  <si>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</si>
  <si>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</si>
  <si>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</si>
  <si>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</si>
  <si>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</si>
  <si>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</si>
  <si>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</si>
  <si>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</si>
  <si>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</si>
  <si>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</si>
  <si>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</si>
  <si>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</si>
  <si>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</si>
  <si>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</si>
  <si>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</si>
  <si>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</si>
  <si>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</si>
  <si>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</si>
  <si>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</si>
  <si>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</si>
  <si>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</si>
  <si>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</si>
  <si>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</si>
  <si>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</si>
  <si>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</si>
  <si>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</si>
  <si>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</si>
  <si>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</si>
  <si>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</si>
  <si>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</si>
  <si>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</si>
  <si>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</si>
  <si>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</si>
  <si>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</si>
  <si>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</si>
  <si>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</si>
  <si>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</si>
  <si>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</si>
  <si>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</si>
  <si>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</si>
  <si>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</si>
  <si>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</si>
  <si>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</si>
  <si>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</si>
  <si>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</si>
  <si>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</si>
  <si>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</si>
  <si>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</si>
  <si>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</si>
  <si>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</si>
  <si>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</si>
  <si>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</si>
  <si>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</si>
  <si>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</si>
  <si>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</si>
  <si>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</si>
  <si>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</si>
  <si>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</si>
  <si>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</si>
  <si>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</si>
  <si>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</si>
  <si>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</si>
  <si>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</si>
  <si>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</si>
  <si>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</si>
  <si>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</si>
  <si>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</si>
  <si>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</si>
  <si>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</si>
  <si>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</si>
  <si>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</si>
  <si>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</si>
  <si>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</si>
  <si>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</si>
  <si>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</si>
  <si>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</si>
  <si>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</si>
  <si>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</si>
  <si>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</si>
  <si>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</si>
  <si>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</si>
  <si>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</si>
  <si>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</si>
  <si>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</si>
  <si>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</si>
  <si>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</si>
  <si>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</si>
  <si>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</si>
  <si>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</si>
  <si>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</si>
  <si>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</si>
  <si>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</si>
  <si>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</si>
  <si>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</si>
  <si>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</si>
  <si>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</si>
  <si>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</si>
  <si>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</si>
  <si>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</si>
  <si>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</si>
  <si>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</si>
  <si>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</si>
  <si>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</si>
  <si>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</si>
  <si>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</si>
  <si>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</si>
  <si>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</si>
  <si>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</si>
  <si>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</si>
  <si>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</si>
  <si>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</si>
  <si>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</si>
  <si>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</si>
  <si>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</si>
  <si>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</si>
  <si>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</si>
  <si>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</si>
  <si>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</si>
  <si>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</si>
  <si>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</si>
  <si>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</si>
  <si>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</si>
  <si>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</si>
  <si>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</si>
  <si>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</si>
  <si>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</si>
  <si>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</si>
  <si>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</si>
  <si>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</si>
  <si>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</si>
  <si>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</si>
  <si>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</si>
  <si>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</si>
  <si>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</si>
  <si>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</si>
  <si>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</si>
  <si>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</si>
  <si>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</si>
  <si>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</si>
  <si>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</si>
  <si>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</si>
  <si>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</si>
  <si>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</si>
  <si>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</si>
  <si>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</si>
  <si>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</si>
  <si>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</si>
  <si>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</si>
  <si>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</si>
  <si>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</si>
  <si>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</si>
  <si>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</si>
  <si>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</si>
  <si>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</si>
  <si>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</si>
  <si>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</si>
  <si>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</si>
  <si>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</si>
  <si>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</si>
  <si>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</si>
  <si>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</si>
  <si>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</si>
  <si>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</si>
  <si>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</si>
  <si>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</si>
  <si>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</si>
  <si>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</si>
  <si>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</si>
  <si>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</si>
  <si>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</si>
  <si>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</si>
  <si>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</si>
  <si>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</si>
  <si>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</si>
  <si>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</si>
  <si>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</si>
  <si>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</si>
  <si>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</si>
  <si>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</si>
  <si>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</si>
  <si>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</si>
  <si>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</si>
  <si>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</si>
  <si>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</si>
  <si>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</si>
  <si>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</si>
  <si>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</si>
  <si>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</si>
  <si>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</si>
  <si>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</si>
  <si>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</si>
  <si>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</si>
  <si>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</si>
  <si>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</si>
  <si>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</si>
  <si>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</si>
  <si>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</si>
  <si>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</si>
  <si>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</si>
  <si>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</si>
  <si>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</si>
  <si>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</si>
  <si>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</si>
  <si>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</si>
  <si>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</si>
  <si>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</si>
  <si>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</si>
  <si>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</si>
  <si>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</si>
  <si>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</si>
  <si>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</si>
  <si>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</si>
  <si>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</si>
  <si>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</si>
  <si>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</si>
  <si>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</si>
  <si>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</si>
  <si>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</si>
  <si>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</si>
  <si>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</si>
  <si>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</si>
  <si>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</si>
  <si>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</si>
  <si>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</si>
  <si>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</si>
  <si>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</si>
  <si>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</si>
  <si>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</si>
  <si>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</si>
  <si>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</si>
  <si>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</si>
  <si>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</si>
  <si>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</si>
  <si>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</si>
  <si>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</si>
  <si>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</si>
  <si>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</si>
  <si>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</si>
  <si>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</si>
  <si>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</si>
  <si>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</si>
  <si>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</si>
  <si>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</si>
  <si>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</si>
  <si>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</si>
  <si>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</si>
  <si>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</si>
  <si>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</si>
  <si>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</si>
  <si>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</si>
  <si>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</si>
  <si>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</si>
  <si>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</si>
  <si>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</si>
  <si>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</si>
  <si>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</si>
  <si>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</si>
  <si>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</si>
  <si>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</si>
  <si>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</si>
  <si>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</si>
  <si>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</si>
  <si>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</si>
  <si>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</si>
  <si>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</si>
  <si>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</si>
  <si>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</si>
  <si>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</si>
  <si>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</si>
  <si>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</si>
  <si>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</si>
  <si>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</si>
  <si>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</si>
  <si>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</si>
  <si>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</si>
  <si>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</si>
  <si>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</si>
  <si>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</si>
  <si>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</si>
  <si>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</si>
  <si>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</si>
  <si>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</si>
  <si>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</si>
  <si>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</si>
  <si>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</si>
  <si>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</si>
  <si>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</si>
  <si>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</si>
  <si>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</si>
  <si>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</si>
  <si>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</si>
  <si>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</si>
  <si>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</si>
  <si>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</si>
  <si>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</si>
  <si>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</si>
  <si>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</si>
  <si>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</si>
  <si>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</si>
  <si>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</si>
  <si>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</si>
  <si>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</si>
  <si>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</si>
  <si>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</si>
  <si>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</si>
  <si>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</si>
  <si>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</si>
  <si>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</si>
  <si>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</si>
  <si>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</si>
  <si>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</si>
  <si>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</si>
  <si>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</si>
  <si>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</si>
  <si>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</si>
  <si>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</si>
  <si>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</si>
  <si>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</si>
  <si>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</si>
  <si>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</si>
  <si>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</si>
  <si>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</si>
  <si>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</si>
  <si>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</si>
  <si>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</si>
  <si>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</si>
  <si>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</si>
  <si>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</si>
  <si>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</si>
  <si>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</si>
  <si>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</si>
  <si>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</si>
  <si>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</si>
  <si>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</si>
  <si>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</si>
  <si>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</si>
  <si>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</si>
  <si>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</si>
  <si>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</si>
  <si>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</si>
  <si>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</si>
  <si>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</si>
  <si>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</si>
  <si>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</si>
  <si>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</si>
  <si>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</si>
  <si>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</si>
  <si>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</si>
  <si>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</si>
  <si>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</si>
  <si>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</si>
  <si>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</si>
  <si>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</si>
  <si>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</si>
  <si>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</si>
  <si>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</si>
  <si>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</si>
  <si>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</si>
  <si>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</si>
  <si>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</si>
  <si>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</si>
  <si>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</si>
  <si>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</si>
  <si>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</si>
  <si>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</si>
  <si>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</si>
  <si>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</si>
  <si>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</si>
  <si>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</si>
  <si>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</si>
  <si>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</si>
  <si>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</si>
  <si>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</si>
  <si>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</si>
  <si>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</si>
  <si>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</si>
  <si>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</si>
  <si>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</si>
  <si>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</si>
  <si>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</si>
  <si>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</si>
  <si>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</si>
  <si>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</si>
  <si>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</si>
  <si>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</si>
  <si>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</si>
  <si>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</si>
  <si>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</si>
  <si>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</si>
  <si>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</si>
  <si>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</si>
  <si>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</si>
  <si>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</si>
  <si>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</si>
  <si>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</si>
  <si>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</si>
  <si>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</si>
  <si>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</si>
  <si>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</si>
  <si>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</si>
  <si>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</si>
  <si>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</si>
  <si>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</si>
  <si>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</si>
  <si>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</si>
  <si>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</si>
  <si>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</si>
  <si>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</si>
  <si>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</si>
  <si>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</si>
  <si>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</si>
  <si>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</si>
  <si>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</si>
  <si>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</si>
  <si>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</si>
  <si>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</si>
  <si>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</si>
  <si>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</si>
  <si>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</si>
  <si>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</si>
  <si>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</si>
  <si>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</si>
  <si>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</si>
  <si>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</si>
  <si>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</si>
  <si>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</si>
  <si>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</si>
  <si>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</si>
  <si>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</si>
  <si>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</si>
  <si>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</si>
  <si>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</si>
  <si>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</si>
  <si>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</si>
  <si>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</si>
  <si>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</si>
  <si>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</si>
  <si>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</si>
  <si>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</si>
  <si>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</si>
  <si>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</si>
  <si>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</si>
  <si>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</si>
  <si>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</si>
  <si>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</si>
  <si>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</si>
  <si>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</si>
  <si>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</si>
  <si>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</si>
  <si>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</si>
  <si>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</si>
  <si>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</si>
  <si>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</si>
  <si>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</si>
  <si>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</si>
  <si>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</si>
  <si>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</si>
  <si>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</si>
  <si>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</si>
  <si>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</si>
  <si>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</si>
  <si>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</si>
  <si>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</si>
  <si>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</si>
  <si>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</si>
  <si>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</si>
  <si>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</si>
  <si>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</si>
  <si>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</si>
  <si>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</si>
  <si>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</si>
  <si>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</si>
  <si>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</si>
  <si>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</si>
  <si>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</si>
  <si>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</si>
  <si>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</si>
  <si>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</si>
  <si>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</si>
  <si>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</si>
  <si>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</si>
  <si>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</si>
  <si>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</si>
  <si>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</si>
  <si>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</si>
  <si>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</si>
  <si>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</si>
  <si>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</si>
  <si>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</si>
  <si>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</si>
  <si>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</si>
  <si>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</si>
  <si>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</si>
  <si>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</si>
  <si>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</si>
  <si>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</si>
  <si>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</si>
  <si>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</si>
  <si>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</si>
  <si>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</si>
  <si>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</si>
  <si>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</si>
  <si>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</si>
  <si>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</si>
  <si>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</si>
  <si>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</si>
  <si>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</si>
  <si>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</si>
  <si>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</si>
  <si>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</si>
  <si>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</si>
  <si>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</si>
  <si>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</si>
  <si>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</si>
  <si>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</si>
  <si>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</si>
  <si>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</si>
  <si>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</si>
  <si>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</si>
  <si>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</si>
  <si>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</si>
  <si>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</si>
  <si>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</si>
  <si>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</si>
  <si>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</si>
  <si>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</si>
  <si>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</si>
  <si>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</si>
  <si>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</si>
  <si>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</si>
  <si>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</si>
  <si>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</si>
  <si>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</si>
  <si>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</si>
  <si>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</si>
  <si>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</si>
  <si>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</si>
  <si>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</si>
  <si>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</si>
  <si>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order_id_1</t>
  </si>
  <si>
    <t>order_date_2</t>
  </si>
  <si>
    <t>ship_date_3</t>
  </si>
  <si>
    <t>customer_id_4</t>
  </si>
  <si>
    <t>customer_name_5</t>
  </si>
  <si>
    <t>segment_6</t>
  </si>
  <si>
    <t>region_7</t>
  </si>
  <si>
    <t>Ship dates_earlier than_Order dates</t>
  </si>
  <si>
    <t>shipping_delay_days</t>
  </si>
  <si>
    <t>unknown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</si>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</sst>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theme="5" tint="-0.499984740745262"/>
      <name val="Carlito"/>
    </font>
    <font>
      <b/>
      <sz val="11"/>
      <color rgb="FFC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3" borderId="0" xfId="0" applyFill="1"/>
    <xf numFmtId="2" fontId="0" fillId="4" borderId="0" xfId="0" applyNumberFormat="1" applyFill="1"/>
  </cellXfs>
  <cellStyles count="1">
    <cellStyle name="Normal" xfId="0" builtinId="0"/>
  </cellStyles>
  <dxfs count="4">
    <dxf>
      <fill>
        <patternFill patternType="solid">
          <fgColor rgb="FFF1A983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33"/>
  <sheetViews>
    <sheetView tabSelected="1" topLeftCell="AC1" workbookViewId="0">
      <selection activeCell="Q936" sqref="Q936"/>
    </sheetView>
  </sheetViews>
  <sheetFormatPr defaultRowHeight="13.8"/>
  <cols>
    <col min="1" max="21" width="16" customWidth="1"/>
    <col min="23" max="26" width="16" customWidth="1"/>
    <col min="27" max="27" width="17.296875" bestFit="1" customWidth="1"/>
    <col min="28" max="33" width="16" customWidth="1"/>
    <col min="34" max="34" width="20.5" bestFit="1" customWidth="1"/>
    <col min="35" max="35" width="16" customWidth="1"/>
    <col min="36" max="36" width="32.796875" bestFit="1" customWidth="1"/>
    <col min="37" max="37" width="20.19921875" bestFit="1" customWidth="1"/>
  </cols>
  <sheetData>
    <row r="1" spans="1:37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1" t="s">
        <v>4107</v>
      </c>
      <c r="X1" s="1" t="s">
        <v>4108</v>
      </c>
      <c r="Y1" s="1" t="s">
        <v>4109</v>
      </c>
      <c r="Z1" s="1" t="s">
        <v>4110</v>
      </c>
      <c r="AA1" s="1" t="s">
        <v>4111</v>
      </c>
      <c r="AB1" s="1" t="s">
        <v>4112</v>
      </c>
      <c r="AC1" s="1" t="s">
        <v>4113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11</v>
      </c>
      <c r="AI1" s="1" t="s">
        <v>12</v>
      </c>
      <c r="AJ1" s="4" t="s">
        <v>4114</v>
      </c>
      <c r="AK1" s="1" t="s">
        <v>4115</v>
      </c>
    </row>
    <row r="2" spans="1:37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  <c r="W2" t="s">
        <v>21</v>
      </c>
      <c r="X2" t="str" cm="1">
        <f t="array" ref="X2:X933">IFERROR(TEXT(DATEVALUE(B2:B933), "dd-mm-yy"), "invalid date")</f>
        <v>21-07-24</v>
      </c>
      <c r="Y2" t="str" cm="1">
        <f t="array" ref="Y2:Y933">IFERROR(TEXT(DATEVALUE(C2:C933),"dd-mm-yy"), "invalid date")</f>
        <v>invalid date</v>
      </c>
      <c r="Z2" t="s">
        <v>24</v>
      </c>
      <c r="AA2" t="str" cm="1">
        <f t="array" ref="AA2:AA933">TRIM(E2:E933)</f>
        <v>Karan Malhotra</v>
      </c>
      <c r="AB2" t="str">
        <f>TRIM(PROPER(F:F))</f>
        <v>Consumer</v>
      </c>
      <c r="AC2" t="str">
        <f>TRIM(PROPER(G:G))</f>
        <v>North</v>
      </c>
      <c r="AD2" t="str">
        <f>TRIM(PROPER(H:H))</f>
        <v>Rajasthan</v>
      </c>
      <c r="AE2" t="str">
        <f t="shared" ref="AE2:AI2" si="0">TRIM(PROPER(I:I))</f>
        <v>Jaipur</v>
      </c>
      <c r="AF2" t="str">
        <f t="shared" si="0"/>
        <v>Office Supplies</v>
      </c>
      <c r="AG2" t="str">
        <f t="shared" si="0"/>
        <v>Paper</v>
      </c>
      <c r="AH2" t="str">
        <f t="shared" si="0"/>
        <v>Pro Paper 122</v>
      </c>
      <c r="AI2" t="str">
        <f t="shared" si="0"/>
        <v>Second Class</v>
      </c>
      <c r="AJ2" s="3" t="str">
        <f>IF(OR(X:X="Invalid Date",Y:Y="Invalid Date"),"Invalid",(IF(X:X&lt;Y:Y,"anomaly", "  ")))</f>
        <v>Invalid</v>
      </c>
      <c r="AK2" t="str">
        <f>IFERROR(Y2-X2, "invalid date")</f>
        <v>invalid date</v>
      </c>
    </row>
    <row r="3" spans="1:37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  <c r="W3" t="s">
        <v>36</v>
      </c>
      <c r="X3" t="str">
        <v>invalid date</v>
      </c>
      <c r="Y3" t="str">
        <v>05-09-24</v>
      </c>
      <c r="Z3" t="s">
        <v>39</v>
      </c>
      <c r="AA3" t="str">
        <v>Mira Das</v>
      </c>
      <c r="AB3" t="str">
        <f t="shared" ref="AB3:AB66" si="1">TRIM(PROPER(F:F))</f>
        <v>Small Business</v>
      </c>
      <c r="AC3" t="str">
        <f t="shared" ref="AC3:AC66" si="2">TRIM(PROPER(G:G))</f>
        <v>East</v>
      </c>
      <c r="AD3" t="str">
        <f t="shared" ref="AD3:AD66" si="3">TRIM(PROPER(H:H))</f>
        <v>Odisha</v>
      </c>
      <c r="AE3" t="str">
        <f t="shared" ref="AE3:AE66" si="4">TRIM(PROPER(I:I))</f>
        <v>Bhubaneswar</v>
      </c>
      <c r="AF3" t="str">
        <f t="shared" ref="AF3:AF66" si="5">TRIM(PROPER(J:J))</f>
        <v>Furniture</v>
      </c>
      <c r="AG3" t="str">
        <f t="shared" ref="AG3:AG66" si="6">TRIM(PROPER(K:K))</f>
        <v>Tables</v>
      </c>
      <c r="AH3" t="str">
        <f t="shared" ref="AH3:AH66" si="7">TRIM(PROPER(L:L))</f>
        <v>Pro Tables 258</v>
      </c>
      <c r="AI3" t="str">
        <f t="shared" ref="AI3:AI66" si="8">TRIM(PROPER(M:M))</f>
        <v>Same Day</v>
      </c>
      <c r="AJ3" s="3" t="str">
        <f t="shared" ref="AJ3:AJ66" si="9">IF(OR(X:X="Invalid Date",Y:Y="Invalid Date"),"Invalid",(IF(X:X&lt;Y:Y,"anomaly", "  ")))</f>
        <v>Invalid</v>
      </c>
      <c r="AK3" t="str">
        <f t="shared" ref="AK3:AK66" si="10">IFERROR(Y3-X3, "invalid date")</f>
        <v>invalid date</v>
      </c>
    </row>
    <row r="4" spans="1:37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  <c r="W4" t="s">
        <v>49</v>
      </c>
      <c r="X4" t="str">
        <v>06-08-24</v>
      </c>
      <c r="Y4" t="str">
        <v>15-06-24</v>
      </c>
      <c r="Z4" t="s">
        <v>52</v>
      </c>
      <c r="AA4" t="str">
        <v>Isha Nair</v>
      </c>
      <c r="AB4" t="str">
        <f t="shared" si="1"/>
        <v>Consumer</v>
      </c>
      <c r="AC4" t="str">
        <f t="shared" si="2"/>
        <v>East</v>
      </c>
      <c r="AD4" t="str">
        <f t="shared" si="3"/>
        <v>Odisha</v>
      </c>
      <c r="AE4" t="str">
        <f t="shared" si="4"/>
        <v>Bhubaneswar</v>
      </c>
      <c r="AF4" t="str">
        <f t="shared" si="5"/>
        <v>Office Supplies</v>
      </c>
      <c r="AG4" t="str">
        <f t="shared" si="6"/>
        <v>Art</v>
      </c>
      <c r="AH4" t="str">
        <f t="shared" si="7"/>
        <v>Elite Art 525</v>
      </c>
      <c r="AI4" t="str">
        <f t="shared" si="8"/>
        <v>First Class</v>
      </c>
      <c r="AJ4" s="3" t="str">
        <f t="shared" si="9"/>
        <v>anomaly</v>
      </c>
      <c r="AK4">
        <f t="shared" si="10"/>
        <v>-52</v>
      </c>
    </row>
    <row r="5" spans="1:37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  <c r="W5" t="s">
        <v>57</v>
      </c>
      <c r="X5" t="str">
        <v>28-11-24</v>
      </c>
      <c r="Y5" t="str">
        <v>invalid date</v>
      </c>
      <c r="Z5" t="s">
        <v>60</v>
      </c>
      <c r="AA5" t="str">
        <v>Arjun Bose</v>
      </c>
      <c r="AB5" t="str">
        <f t="shared" si="1"/>
        <v>Small Business</v>
      </c>
      <c r="AC5" t="str">
        <f t="shared" si="2"/>
        <v>South</v>
      </c>
      <c r="AD5" t="str">
        <f t="shared" si="3"/>
        <v>Telangana</v>
      </c>
      <c r="AE5" t="str">
        <f t="shared" si="4"/>
        <v>Hyderabad</v>
      </c>
      <c r="AF5" t="str">
        <f t="shared" si="5"/>
        <v>Furniture</v>
      </c>
      <c r="AG5" t="str">
        <f t="shared" si="6"/>
        <v>Furnishings</v>
      </c>
      <c r="AH5" t="str">
        <f t="shared" si="7"/>
        <v>Smart Furnishings 294</v>
      </c>
      <c r="AI5" t="str">
        <f t="shared" si="8"/>
        <v>Standard Class</v>
      </c>
      <c r="AJ5" s="3" t="str">
        <f t="shared" si="9"/>
        <v>Invalid</v>
      </c>
      <c r="AK5" t="str">
        <f t="shared" si="10"/>
        <v>invalid date</v>
      </c>
    </row>
    <row r="6" spans="1:37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  <c r="W6" t="s">
        <v>68</v>
      </c>
      <c r="X6" t="str">
        <v>29-08-25</v>
      </c>
      <c r="Y6" t="str">
        <v>01-09-25</v>
      </c>
      <c r="Z6" t="s">
        <v>71</v>
      </c>
      <c r="AA6" t="str">
        <v>Ananya Rao</v>
      </c>
      <c r="AB6" t="str">
        <f t="shared" si="1"/>
        <v>Small Business</v>
      </c>
      <c r="AC6" t="str">
        <f t="shared" si="2"/>
        <v>West</v>
      </c>
      <c r="AD6" t="str">
        <f t="shared" si="3"/>
        <v>Maharashtra</v>
      </c>
      <c r="AE6" t="str">
        <f t="shared" si="4"/>
        <v>Mumbai</v>
      </c>
      <c r="AF6" t="str">
        <f t="shared" si="5"/>
        <v>Furniture</v>
      </c>
      <c r="AG6" t="str">
        <f t="shared" si="6"/>
        <v>Chairs</v>
      </c>
      <c r="AH6" t="str">
        <f t="shared" si="7"/>
        <v>Elite Chairs 543</v>
      </c>
      <c r="AI6" t="str">
        <f t="shared" si="8"/>
        <v>First Class</v>
      </c>
      <c r="AJ6" s="3" t="str">
        <f t="shared" si="9"/>
        <v xml:space="preserve">  </v>
      </c>
      <c r="AK6">
        <f t="shared" si="10"/>
        <v>3</v>
      </c>
    </row>
    <row r="7" spans="1:37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  <c r="W7" t="s">
        <v>79</v>
      </c>
      <c r="X7" t="str">
        <v>24-05-24</v>
      </c>
      <c r="Y7" t="str">
        <v>28-05-24</v>
      </c>
      <c r="Z7" t="s">
        <v>82</v>
      </c>
      <c r="AA7" t="str">
        <v>Vikram Iyer</v>
      </c>
      <c r="AB7" t="str">
        <f t="shared" si="1"/>
        <v>Small Business</v>
      </c>
      <c r="AC7" t="str">
        <f t="shared" si="2"/>
        <v>West</v>
      </c>
      <c r="AD7" t="str">
        <f t="shared" si="3"/>
        <v>Madhya Pradesh</v>
      </c>
      <c r="AE7" t="str">
        <f t="shared" si="4"/>
        <v>Indore</v>
      </c>
      <c r="AF7" t="str">
        <f t="shared" si="5"/>
        <v>Technology</v>
      </c>
      <c r="AG7" t="str">
        <f t="shared" si="6"/>
        <v>Accessories</v>
      </c>
      <c r="AH7" t="str">
        <f t="shared" si="7"/>
        <v>Pro Accessories 821</v>
      </c>
      <c r="AI7" t="str">
        <f t="shared" si="8"/>
        <v>Same Day</v>
      </c>
      <c r="AJ7" s="3" t="str">
        <f t="shared" si="9"/>
        <v>anomaly</v>
      </c>
      <c r="AK7">
        <f t="shared" si="10"/>
        <v>4</v>
      </c>
    </row>
    <row r="8" spans="1:37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  <c r="W8" t="s">
        <v>89</v>
      </c>
      <c r="X8" t="str">
        <v>04-10-25</v>
      </c>
      <c r="Y8" t="str">
        <v>invalid date</v>
      </c>
      <c r="Z8" t="s">
        <v>92</v>
      </c>
      <c r="AA8" t="str">
        <v>Neha Gupta</v>
      </c>
      <c r="AB8" t="str">
        <f t="shared" si="1"/>
        <v>Consumer</v>
      </c>
      <c r="AC8" t="str">
        <f t="shared" si="2"/>
        <v>East</v>
      </c>
      <c r="AD8" t="str">
        <f t="shared" si="3"/>
        <v>Odisha</v>
      </c>
      <c r="AE8" t="str">
        <f t="shared" si="4"/>
        <v>Bhubaneswar</v>
      </c>
      <c r="AF8" t="str">
        <f t="shared" si="5"/>
        <v>Technology</v>
      </c>
      <c r="AG8" t="str">
        <f t="shared" si="6"/>
        <v>Copiers</v>
      </c>
      <c r="AH8" t="str">
        <f t="shared" si="7"/>
        <v>Eco Copiers 790</v>
      </c>
      <c r="AI8" t="str">
        <f t="shared" si="8"/>
        <v>Standard Class</v>
      </c>
      <c r="AJ8" s="3" t="str">
        <f t="shared" si="9"/>
        <v>Invalid</v>
      </c>
      <c r="AK8" t="str">
        <f t="shared" si="10"/>
        <v>invalid date</v>
      </c>
    </row>
    <row r="9" spans="1:37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  <c r="W9" t="s">
        <v>96</v>
      </c>
      <c r="X9" t="str">
        <v>23-02-25</v>
      </c>
      <c r="Y9" t="str">
        <v>26-02-25</v>
      </c>
      <c r="Z9" t="s">
        <v>99</v>
      </c>
      <c r="AA9" t="str">
        <v>Isha Nair</v>
      </c>
      <c r="AB9" t="str">
        <f t="shared" si="1"/>
        <v>Small Business</v>
      </c>
      <c r="AC9" t="str">
        <f t="shared" si="2"/>
        <v>South</v>
      </c>
      <c r="AD9" t="str">
        <f t="shared" si="3"/>
        <v>Andhra Pradesh</v>
      </c>
      <c r="AE9" t="str">
        <f t="shared" si="4"/>
        <v>Vijayawada</v>
      </c>
      <c r="AF9" t="str">
        <f t="shared" si="5"/>
        <v>Office Supplies</v>
      </c>
      <c r="AG9" t="str">
        <f t="shared" si="6"/>
        <v>Art</v>
      </c>
      <c r="AH9" t="str">
        <f t="shared" si="7"/>
        <v>Eco Art 848</v>
      </c>
      <c r="AI9" t="str">
        <f t="shared" si="8"/>
        <v>First Class</v>
      </c>
      <c r="AJ9" s="3" t="str">
        <f t="shared" si="9"/>
        <v>anomaly</v>
      </c>
      <c r="AK9">
        <f t="shared" si="10"/>
        <v>3</v>
      </c>
    </row>
    <row r="10" spans="1:37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  <c r="W10" t="s">
        <v>103</v>
      </c>
      <c r="X10" t="str">
        <v>11-05-24</v>
      </c>
      <c r="Y10" t="str">
        <v>11-10-24</v>
      </c>
      <c r="Z10" t="s">
        <v>106</v>
      </c>
      <c r="AA10" t="str">
        <v>Aditi Sen</v>
      </c>
      <c r="AB10" t="str">
        <f t="shared" si="1"/>
        <v>Corporate</v>
      </c>
      <c r="AC10" t="str">
        <f t="shared" si="2"/>
        <v>South</v>
      </c>
      <c r="AD10" t="str">
        <f t="shared" si="3"/>
        <v>Telangana</v>
      </c>
      <c r="AE10" t="str">
        <f t="shared" si="4"/>
        <v>Hyderabad</v>
      </c>
      <c r="AF10" t="str">
        <f t="shared" si="5"/>
        <v>Office Supplies</v>
      </c>
      <c r="AG10" t="str">
        <f t="shared" si="6"/>
        <v>Labels</v>
      </c>
      <c r="AH10" t="str">
        <f t="shared" si="7"/>
        <v>Classic Labels 815</v>
      </c>
      <c r="AI10" t="str">
        <f t="shared" si="8"/>
        <v>First Class</v>
      </c>
      <c r="AJ10" s="3" t="str">
        <f t="shared" si="9"/>
        <v>anomaly</v>
      </c>
      <c r="AK10">
        <f t="shared" si="10"/>
        <v>153</v>
      </c>
    </row>
    <row r="11" spans="1:37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  <c r="W11" t="s">
        <v>111</v>
      </c>
      <c r="X11" t="str">
        <v>07-09-25</v>
      </c>
      <c r="Y11" t="str">
        <v>09-12-25</v>
      </c>
      <c r="Z11" t="s">
        <v>114</v>
      </c>
      <c r="AA11" t="str">
        <v>Mira Das</v>
      </c>
      <c r="AB11" t="str">
        <f t="shared" si="1"/>
        <v>Home Office</v>
      </c>
      <c r="AC11" t="str">
        <f t="shared" si="2"/>
        <v>South</v>
      </c>
      <c r="AD11" t="str">
        <f t="shared" si="3"/>
        <v>Telangana</v>
      </c>
      <c r="AE11" t="str">
        <f t="shared" si="4"/>
        <v>Hyderabad</v>
      </c>
      <c r="AF11" t="str">
        <f t="shared" si="5"/>
        <v>Office Supplies</v>
      </c>
      <c r="AG11" t="str">
        <f t="shared" si="6"/>
        <v>Paper</v>
      </c>
      <c r="AH11" t="str">
        <f t="shared" si="7"/>
        <v>Pro Paper 622</v>
      </c>
      <c r="AI11" t="str">
        <f t="shared" si="8"/>
        <v>Second Class</v>
      </c>
      <c r="AJ11" s="3" t="str">
        <f t="shared" si="9"/>
        <v>anomaly</v>
      </c>
      <c r="AK11">
        <f t="shared" si="10"/>
        <v>93</v>
      </c>
    </row>
    <row r="12" spans="1:37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  <c r="W12" t="s">
        <v>117</v>
      </c>
      <c r="X12" t="str">
        <v>20-05-25</v>
      </c>
      <c r="Y12" t="str">
        <v>invalid date</v>
      </c>
      <c r="Z12" t="s">
        <v>120</v>
      </c>
      <c r="AA12" t="str">
        <v>Ananya Rao</v>
      </c>
      <c r="AB12" t="str">
        <f t="shared" si="1"/>
        <v>Corporate</v>
      </c>
      <c r="AC12" t="str">
        <f t="shared" si="2"/>
        <v>East</v>
      </c>
      <c r="AD12" t="str">
        <f t="shared" si="3"/>
        <v>West Bengal</v>
      </c>
      <c r="AE12" t="str">
        <f t="shared" si="4"/>
        <v>Kolkata</v>
      </c>
      <c r="AF12" t="str">
        <f t="shared" si="5"/>
        <v>Office Supplies</v>
      </c>
      <c r="AG12" t="str">
        <f t="shared" si="6"/>
        <v>Labels</v>
      </c>
      <c r="AH12" t="str">
        <f t="shared" si="7"/>
        <v>Prime Labels 644</v>
      </c>
      <c r="AI12" t="str">
        <f t="shared" si="8"/>
        <v>Second Class</v>
      </c>
      <c r="AJ12" s="3" t="str">
        <f t="shared" si="9"/>
        <v>Invalid</v>
      </c>
      <c r="AK12" t="str">
        <f t="shared" si="10"/>
        <v>invalid date</v>
      </c>
    </row>
    <row r="13" spans="1:37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  <c r="W13" t="s">
        <v>126</v>
      </c>
      <c r="X13" t="str">
        <v>22-07-24</v>
      </c>
      <c r="Y13" t="str">
        <v>23-07-24</v>
      </c>
      <c r="Z13" t="s">
        <v>129</v>
      </c>
      <c r="AA13" t="str">
        <v>Vikram Iyer</v>
      </c>
      <c r="AB13" t="str">
        <f t="shared" si="1"/>
        <v>Small Business</v>
      </c>
      <c r="AC13" t="str">
        <f t="shared" si="2"/>
        <v>East</v>
      </c>
      <c r="AD13" t="str">
        <f t="shared" si="3"/>
        <v>Odisha</v>
      </c>
      <c r="AE13" t="str">
        <f t="shared" si="4"/>
        <v>Bhubaneswar</v>
      </c>
      <c r="AF13" t="str">
        <f t="shared" si="5"/>
        <v>Technology</v>
      </c>
      <c r="AG13" t="str">
        <f t="shared" si="6"/>
        <v>Accessories</v>
      </c>
      <c r="AH13" t="str">
        <f t="shared" si="7"/>
        <v>Smart Accessories 603</v>
      </c>
      <c r="AI13" t="str">
        <f t="shared" si="8"/>
        <v>Same Day</v>
      </c>
      <c r="AJ13" s="3" t="str">
        <f t="shared" si="9"/>
        <v>anomaly</v>
      </c>
      <c r="AK13">
        <f t="shared" si="10"/>
        <v>1</v>
      </c>
    </row>
    <row r="14" spans="1:37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  <c r="W14" t="s">
        <v>131</v>
      </c>
      <c r="X14" t="str">
        <v>20-12-24</v>
      </c>
      <c r="Y14" t="str">
        <v>invalid date</v>
      </c>
      <c r="Z14" t="s">
        <v>134</v>
      </c>
      <c r="AA14" t="str">
        <v>Ananya Rao</v>
      </c>
      <c r="AB14" t="str">
        <f t="shared" si="1"/>
        <v>Corporate</v>
      </c>
      <c r="AC14" t="str">
        <f t="shared" si="2"/>
        <v>West</v>
      </c>
      <c r="AD14" t="str">
        <f t="shared" si="3"/>
        <v>Rajasthan</v>
      </c>
      <c r="AE14" t="str">
        <f t="shared" si="4"/>
        <v>Udaipur</v>
      </c>
      <c r="AF14" t="str">
        <f t="shared" si="5"/>
        <v>Office Supplies</v>
      </c>
      <c r="AG14" t="str">
        <f t="shared" si="6"/>
        <v>Paper</v>
      </c>
      <c r="AH14" t="str">
        <f t="shared" si="7"/>
        <v>Pro Paper 481</v>
      </c>
      <c r="AI14" t="str">
        <f t="shared" si="8"/>
        <v>First Class</v>
      </c>
      <c r="AJ14" s="3" t="str">
        <f t="shared" si="9"/>
        <v>Invalid</v>
      </c>
      <c r="AK14" t="str">
        <f t="shared" si="10"/>
        <v>invalid date</v>
      </c>
    </row>
    <row r="15" spans="1:37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  <c r="W15" t="s">
        <v>138</v>
      </c>
      <c r="X15" t="str">
        <v>12-10-25</v>
      </c>
      <c r="Y15" t="str">
        <v>16-10-25</v>
      </c>
      <c r="Z15" t="s">
        <v>141</v>
      </c>
      <c r="AA15" t="str">
        <v>Priya Menon</v>
      </c>
      <c r="AB15" t="str">
        <f t="shared" si="1"/>
        <v>Small Business</v>
      </c>
      <c r="AC15" t="str">
        <f t="shared" si="2"/>
        <v>West</v>
      </c>
      <c r="AD15" t="str">
        <f t="shared" si="3"/>
        <v>Maharashtra</v>
      </c>
      <c r="AE15" t="str">
        <f t="shared" si="4"/>
        <v>Mumbai</v>
      </c>
      <c r="AF15" t="str">
        <f t="shared" si="5"/>
        <v>Office Supplies</v>
      </c>
      <c r="AG15" t="str">
        <f t="shared" si="6"/>
        <v>Art</v>
      </c>
      <c r="AH15" t="str">
        <f t="shared" si="7"/>
        <v>Smart Art 795</v>
      </c>
      <c r="AI15" t="str">
        <f t="shared" si="8"/>
        <v>Second Class</v>
      </c>
      <c r="AJ15" s="3" t="str">
        <f t="shared" si="9"/>
        <v>anomaly</v>
      </c>
      <c r="AK15">
        <f t="shared" si="10"/>
        <v>4</v>
      </c>
    </row>
    <row r="16" spans="1:37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  <c r="W16" t="s">
        <v>144</v>
      </c>
      <c r="X16" t="str">
        <v>27-12-24</v>
      </c>
      <c r="Y16" t="str">
        <v>invalid date</v>
      </c>
      <c r="Z16" t="s">
        <v>147</v>
      </c>
      <c r="AA16" t="str">
        <v>Rahul Verma</v>
      </c>
      <c r="AB16" t="str">
        <f t="shared" si="1"/>
        <v>Consumer</v>
      </c>
      <c r="AC16" t="str">
        <f t="shared" si="2"/>
        <v>West</v>
      </c>
      <c r="AD16" t="str">
        <f t="shared" si="3"/>
        <v>Rajasthan</v>
      </c>
      <c r="AE16" t="str">
        <f t="shared" si="4"/>
        <v>Udaipur</v>
      </c>
      <c r="AF16" t="str">
        <f t="shared" si="5"/>
        <v>Technology</v>
      </c>
      <c r="AG16" t="str">
        <f t="shared" si="6"/>
        <v>Copiers</v>
      </c>
      <c r="AH16" t="str">
        <f t="shared" si="7"/>
        <v>Max Copiers 983</v>
      </c>
      <c r="AI16" t="str">
        <f t="shared" si="8"/>
        <v>Standard Class</v>
      </c>
      <c r="AJ16" s="3" t="str">
        <f t="shared" si="9"/>
        <v>Invalid</v>
      </c>
      <c r="AK16" t="str">
        <f t="shared" si="10"/>
        <v>invalid date</v>
      </c>
    </row>
    <row r="17" spans="1:37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  <c r="W17" t="s">
        <v>150</v>
      </c>
      <c r="X17" t="str">
        <v>07-09-24</v>
      </c>
      <c r="Y17" t="str">
        <v>09-07-24</v>
      </c>
      <c r="Z17" t="s">
        <v>153</v>
      </c>
      <c r="AA17" t="str">
        <v>Karan Malhotra</v>
      </c>
      <c r="AB17" t="str">
        <f t="shared" si="1"/>
        <v>Small Business</v>
      </c>
      <c r="AC17" t="str">
        <f t="shared" si="2"/>
        <v>North</v>
      </c>
      <c r="AD17" t="str">
        <f t="shared" si="3"/>
        <v>Punjab</v>
      </c>
      <c r="AE17" t="str">
        <f t="shared" si="4"/>
        <v>Ludhiana</v>
      </c>
      <c r="AF17" t="str">
        <f t="shared" si="5"/>
        <v>Office Supplies</v>
      </c>
      <c r="AG17" t="str">
        <f t="shared" si="6"/>
        <v>Storage</v>
      </c>
      <c r="AH17" t="str">
        <f t="shared" si="7"/>
        <v>Classic Storage 198</v>
      </c>
      <c r="AI17" t="str">
        <f t="shared" si="8"/>
        <v>Second Class</v>
      </c>
      <c r="AJ17" s="3" t="str">
        <f t="shared" si="9"/>
        <v>anomaly</v>
      </c>
      <c r="AK17">
        <f t="shared" si="10"/>
        <v>-60</v>
      </c>
    </row>
    <row r="18" spans="1:37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  <c r="W18" t="s">
        <v>158</v>
      </c>
      <c r="X18" t="str">
        <v>05-08-24</v>
      </c>
      <c r="Y18" t="str">
        <v>15-05-24</v>
      </c>
      <c r="Z18" t="s">
        <v>161</v>
      </c>
      <c r="AA18" t="str">
        <v>Aarav Sharma</v>
      </c>
      <c r="AB18" t="str">
        <f t="shared" si="1"/>
        <v>Consumer</v>
      </c>
      <c r="AC18" t="str">
        <f t="shared" si="2"/>
        <v>South</v>
      </c>
      <c r="AD18" t="str">
        <f t="shared" si="3"/>
        <v>Telangana</v>
      </c>
      <c r="AE18" t="str">
        <f t="shared" si="4"/>
        <v>Hyderabad</v>
      </c>
      <c r="AF18" t="str">
        <f t="shared" si="5"/>
        <v>Office Supplies</v>
      </c>
      <c r="AG18" t="str">
        <f t="shared" si="6"/>
        <v>Art</v>
      </c>
      <c r="AH18" t="str">
        <f t="shared" si="7"/>
        <v>Basic Art 204</v>
      </c>
      <c r="AI18" t="str">
        <f t="shared" si="8"/>
        <v>First Class</v>
      </c>
      <c r="AJ18" s="3" t="str">
        <f t="shared" si="9"/>
        <v>anomaly</v>
      </c>
      <c r="AK18">
        <f t="shared" si="10"/>
        <v>-82</v>
      </c>
    </row>
    <row r="19" spans="1:37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  <c r="W19" t="s">
        <v>164</v>
      </c>
      <c r="X19" t="str">
        <v>01-07-24</v>
      </c>
      <c r="Y19" t="str">
        <v>08-01-24</v>
      </c>
      <c r="Z19" t="s">
        <v>167</v>
      </c>
      <c r="AA19" t="str">
        <v>Sneha Kapoor</v>
      </c>
      <c r="AB19" t="str">
        <f t="shared" si="1"/>
        <v>Small Business</v>
      </c>
      <c r="AC19" t="str">
        <f t="shared" si="2"/>
        <v>North</v>
      </c>
      <c r="AD19" t="str">
        <f t="shared" si="3"/>
        <v>Rajasthan</v>
      </c>
      <c r="AE19" t="str">
        <f t="shared" si="4"/>
        <v>Jaipur</v>
      </c>
      <c r="AF19" t="str">
        <f t="shared" si="5"/>
        <v>Furniture</v>
      </c>
      <c r="AG19" t="str">
        <f t="shared" si="6"/>
        <v>Furnishings</v>
      </c>
      <c r="AH19" t="str">
        <f t="shared" si="7"/>
        <v>Basic Furnishings 434</v>
      </c>
      <c r="AI19" t="str">
        <f t="shared" si="8"/>
        <v>Same Day</v>
      </c>
      <c r="AJ19" s="3" t="str">
        <f t="shared" si="9"/>
        <v>anomaly</v>
      </c>
      <c r="AK19">
        <f t="shared" si="10"/>
        <v>-175</v>
      </c>
    </row>
    <row r="20" spans="1:37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  <c r="W20" t="s">
        <v>170</v>
      </c>
      <c r="X20" t="str">
        <v>invalid date</v>
      </c>
      <c r="Y20" t="str">
        <v>17-07-25</v>
      </c>
      <c r="Z20" t="s">
        <v>173</v>
      </c>
      <c r="AA20" t="str">
        <v>Aarav Sharma</v>
      </c>
      <c r="AB20" t="str">
        <f t="shared" si="1"/>
        <v>Home Office</v>
      </c>
      <c r="AC20" t="str">
        <f t="shared" si="2"/>
        <v>North</v>
      </c>
      <c r="AD20" t="str">
        <f t="shared" si="3"/>
        <v>Uttar Pradesh</v>
      </c>
      <c r="AE20" t="str">
        <f t="shared" si="4"/>
        <v>Noida</v>
      </c>
      <c r="AF20" t="str">
        <f t="shared" si="5"/>
        <v>Technology</v>
      </c>
      <c r="AG20" t="str">
        <f t="shared" si="6"/>
        <v>Copiers</v>
      </c>
      <c r="AH20" t="str">
        <f t="shared" si="7"/>
        <v>Eco Copiers 755</v>
      </c>
      <c r="AI20" t="str">
        <f t="shared" si="8"/>
        <v>First Class</v>
      </c>
      <c r="AJ20" s="3" t="str">
        <f t="shared" si="9"/>
        <v>Invalid</v>
      </c>
      <c r="AK20" t="str">
        <f t="shared" si="10"/>
        <v>invalid date</v>
      </c>
    </row>
    <row r="21" spans="1:37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 s="5" t="s">
        <v>4117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  <c r="W21" t="s">
        <v>177</v>
      </c>
      <c r="X21" t="str">
        <v>invalid date</v>
      </c>
      <c r="Y21" t="str">
        <v>31-07-24</v>
      </c>
      <c r="Z21" t="s">
        <v>179</v>
      </c>
      <c r="AA21" t="str">
        <v>Rohan Mehta</v>
      </c>
      <c r="AB21" t="str">
        <f t="shared" si="1"/>
        <v>Home Office</v>
      </c>
      <c r="AC21" t="str">
        <f t="shared" si="2"/>
        <v>West</v>
      </c>
      <c r="AD21" t="str">
        <f t="shared" si="3"/>
        <v>Madhya Pradesh</v>
      </c>
      <c r="AE21" t="str">
        <f t="shared" si="4"/>
        <v>Indore</v>
      </c>
      <c r="AF21" t="str">
        <f t="shared" si="5"/>
        <v>Office Supplies</v>
      </c>
      <c r="AG21" t="str">
        <f t="shared" si="6"/>
        <v>Storage</v>
      </c>
      <c r="AH21" t="str">
        <f t="shared" si="7"/>
        <v>Prime Storage 121</v>
      </c>
      <c r="AI21" t="str">
        <f t="shared" si="8"/>
        <v>Second Class</v>
      </c>
      <c r="AJ21" s="3" t="str">
        <f t="shared" si="9"/>
        <v>Invalid</v>
      </c>
      <c r="AK21" t="str">
        <f t="shared" si="10"/>
        <v>invalid date</v>
      </c>
    </row>
    <row r="22" spans="1:37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  <c r="W22" t="s">
        <v>182</v>
      </c>
      <c r="X22" t="str">
        <v>21-01-25</v>
      </c>
      <c r="Y22" t="str">
        <v>23-01-25</v>
      </c>
      <c r="Z22" t="s">
        <v>185</v>
      </c>
      <c r="AA22" t="str">
        <v>Aditi Sen</v>
      </c>
      <c r="AB22" t="str">
        <f t="shared" si="1"/>
        <v>Home Office</v>
      </c>
      <c r="AC22" t="str">
        <f t="shared" si="2"/>
        <v>East</v>
      </c>
      <c r="AD22" t="str">
        <f t="shared" si="3"/>
        <v>Bihar</v>
      </c>
      <c r="AE22" t="str">
        <f t="shared" si="4"/>
        <v>Patna</v>
      </c>
      <c r="AF22" t="str">
        <f t="shared" si="5"/>
        <v>Technology</v>
      </c>
      <c r="AG22" t="str">
        <f t="shared" si="6"/>
        <v>Copiers</v>
      </c>
      <c r="AH22" t="str">
        <f t="shared" si="7"/>
        <v>Elite Copiers 233</v>
      </c>
      <c r="AI22" t="str">
        <f t="shared" si="8"/>
        <v>First Class</v>
      </c>
      <c r="AJ22" s="3" t="str">
        <f t="shared" si="9"/>
        <v>anomaly</v>
      </c>
      <c r="AK22">
        <f t="shared" si="10"/>
        <v>2</v>
      </c>
    </row>
    <row r="23" spans="1:37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 s="5" t="s">
        <v>4117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  <c r="W23" t="s">
        <v>189</v>
      </c>
      <c r="X23" t="str">
        <v>24-01-25</v>
      </c>
      <c r="Y23" t="str">
        <v>invalid date</v>
      </c>
      <c r="Z23" t="s">
        <v>192</v>
      </c>
      <c r="AA23" t="str">
        <v>Sneha Kapoor</v>
      </c>
      <c r="AB23" t="str">
        <f t="shared" si="1"/>
        <v>Consumer</v>
      </c>
      <c r="AC23" t="str">
        <f t="shared" si="2"/>
        <v>West</v>
      </c>
      <c r="AD23" t="str">
        <f t="shared" si="3"/>
        <v>Madhya Pradesh</v>
      </c>
      <c r="AE23" t="str">
        <f t="shared" si="4"/>
        <v>Indore</v>
      </c>
      <c r="AF23" t="str">
        <f t="shared" si="5"/>
        <v>Furniture</v>
      </c>
      <c r="AG23" t="str">
        <f t="shared" si="6"/>
        <v>Furnishings</v>
      </c>
      <c r="AH23" t="str">
        <f t="shared" si="7"/>
        <v>Eco Furnishings 897</v>
      </c>
      <c r="AI23" t="str">
        <f t="shared" si="8"/>
        <v>Second Class</v>
      </c>
      <c r="AJ23" s="3" t="str">
        <f t="shared" si="9"/>
        <v>Invalid</v>
      </c>
      <c r="AK23" t="str">
        <f t="shared" si="10"/>
        <v>invalid date</v>
      </c>
    </row>
    <row r="24" spans="1:37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  <c r="W24" t="s">
        <v>194</v>
      </c>
      <c r="X24" t="str">
        <v>19-01-25</v>
      </c>
      <c r="Y24" t="str">
        <v>21-01-25</v>
      </c>
      <c r="Z24" t="s">
        <v>197</v>
      </c>
      <c r="AA24" t="str">
        <v>Mira Das</v>
      </c>
      <c r="AB24" t="str">
        <f t="shared" si="1"/>
        <v>Consumer</v>
      </c>
      <c r="AC24" t="str">
        <f t="shared" si="2"/>
        <v>South</v>
      </c>
      <c r="AD24" t="str">
        <f t="shared" si="3"/>
        <v>Telangana</v>
      </c>
      <c r="AE24" t="str">
        <f t="shared" si="4"/>
        <v>Hyderabad</v>
      </c>
      <c r="AF24" t="str">
        <f t="shared" si="5"/>
        <v>Office Supplies</v>
      </c>
      <c r="AG24" t="str">
        <f t="shared" si="6"/>
        <v>Binders</v>
      </c>
      <c r="AH24" t="str">
        <f t="shared" si="7"/>
        <v>Max Binders 355</v>
      </c>
      <c r="AI24" t="str">
        <f t="shared" si="8"/>
        <v>Standard Class</v>
      </c>
      <c r="AJ24" s="3" t="str">
        <f t="shared" si="9"/>
        <v>anomaly</v>
      </c>
      <c r="AK24">
        <f t="shared" si="10"/>
        <v>2</v>
      </c>
    </row>
    <row r="25" spans="1:37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  <c r="W25" t="s">
        <v>201</v>
      </c>
      <c r="X25" t="str">
        <v>29-08-25</v>
      </c>
      <c r="Y25" t="str">
        <v>31-08-25</v>
      </c>
      <c r="Z25" t="s">
        <v>203</v>
      </c>
      <c r="AA25" t="str">
        <v>Rahul Verma</v>
      </c>
      <c r="AB25" t="str">
        <f t="shared" si="1"/>
        <v>Home Office</v>
      </c>
      <c r="AC25" t="str">
        <f t="shared" si="2"/>
        <v>East</v>
      </c>
      <c r="AD25" t="str">
        <f t="shared" si="3"/>
        <v>Bihar</v>
      </c>
      <c r="AE25" t="str">
        <f t="shared" si="4"/>
        <v>Patna</v>
      </c>
      <c r="AF25" t="str">
        <f t="shared" si="5"/>
        <v>Furniture</v>
      </c>
      <c r="AG25" t="str">
        <f t="shared" si="6"/>
        <v>Bookcases</v>
      </c>
      <c r="AH25" t="str">
        <f t="shared" si="7"/>
        <v>Pro Bookcases 394</v>
      </c>
      <c r="AI25" t="str">
        <f t="shared" si="8"/>
        <v>First Class</v>
      </c>
      <c r="AJ25" s="3" t="str">
        <f t="shared" si="9"/>
        <v>anomaly</v>
      </c>
      <c r="AK25">
        <f t="shared" si="10"/>
        <v>2</v>
      </c>
    </row>
    <row r="26" spans="1:37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  <c r="W26" t="s">
        <v>206</v>
      </c>
      <c r="X26" t="str">
        <v>04-03-24</v>
      </c>
      <c r="Y26" t="str">
        <v>03-01-24</v>
      </c>
      <c r="Z26" t="s">
        <v>209</v>
      </c>
      <c r="AA26" t="str">
        <v>Diya Patel</v>
      </c>
      <c r="AB26" t="str">
        <f t="shared" si="1"/>
        <v>Consumer</v>
      </c>
      <c r="AC26" t="str">
        <f t="shared" si="2"/>
        <v>North</v>
      </c>
      <c r="AD26" t="str">
        <f t="shared" si="3"/>
        <v>Punjab</v>
      </c>
      <c r="AE26" t="str">
        <f t="shared" si="4"/>
        <v>Ludhiana</v>
      </c>
      <c r="AF26" t="str">
        <f t="shared" si="5"/>
        <v>Office Supplies</v>
      </c>
      <c r="AG26" t="str">
        <f t="shared" si="6"/>
        <v>Art</v>
      </c>
      <c r="AH26" t="str">
        <f t="shared" si="7"/>
        <v>Max Art 215</v>
      </c>
      <c r="AI26" t="str">
        <f t="shared" si="8"/>
        <v>Standard Class</v>
      </c>
      <c r="AJ26" s="3" t="str">
        <f t="shared" si="9"/>
        <v xml:space="preserve">  </v>
      </c>
      <c r="AK26">
        <f t="shared" si="10"/>
        <v>-61</v>
      </c>
    </row>
    <row r="27" spans="1:37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  <c r="W27" t="s">
        <v>212</v>
      </c>
      <c r="X27" t="str">
        <v>11-10-24</v>
      </c>
      <c r="Y27" t="str">
        <v>19-10-24</v>
      </c>
      <c r="Z27" t="s">
        <v>215</v>
      </c>
      <c r="AA27" t="str">
        <v>Arjun Bose</v>
      </c>
      <c r="AB27" t="str">
        <f t="shared" si="1"/>
        <v>Corporate</v>
      </c>
      <c r="AC27" t="str">
        <f t="shared" si="2"/>
        <v>East</v>
      </c>
      <c r="AD27" t="str">
        <f t="shared" si="3"/>
        <v>Assam</v>
      </c>
      <c r="AE27" t="str">
        <f t="shared" si="4"/>
        <v>Guwahati</v>
      </c>
      <c r="AF27" t="str">
        <f t="shared" si="5"/>
        <v>Technology</v>
      </c>
      <c r="AG27" t="str">
        <f t="shared" si="6"/>
        <v>Accessories</v>
      </c>
      <c r="AH27" t="str">
        <f t="shared" si="7"/>
        <v>Classic Accessories 478</v>
      </c>
      <c r="AI27" t="str">
        <f t="shared" si="8"/>
        <v>First Class</v>
      </c>
      <c r="AJ27" s="3" t="str">
        <f t="shared" si="9"/>
        <v>anomaly</v>
      </c>
      <c r="AK27">
        <f t="shared" si="10"/>
        <v>8</v>
      </c>
    </row>
    <row r="28" spans="1:37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  <c r="W28" t="s">
        <v>219</v>
      </c>
      <c r="X28" t="str">
        <v>23-11-24</v>
      </c>
      <c r="Y28" t="str">
        <v>23-11-24</v>
      </c>
      <c r="Z28" t="s">
        <v>222</v>
      </c>
      <c r="AA28" t="str">
        <v>Diya Patel</v>
      </c>
      <c r="AB28" t="str">
        <f t="shared" si="1"/>
        <v>Corporate</v>
      </c>
      <c r="AC28" t="str">
        <f t="shared" si="2"/>
        <v>North</v>
      </c>
      <c r="AD28" t="str">
        <f t="shared" si="3"/>
        <v>Uttar Pradesh</v>
      </c>
      <c r="AE28" t="str">
        <f t="shared" si="4"/>
        <v>Noida</v>
      </c>
      <c r="AF28" t="str">
        <f t="shared" si="5"/>
        <v>Technology</v>
      </c>
      <c r="AG28" t="str">
        <f t="shared" si="6"/>
        <v>Phones</v>
      </c>
      <c r="AH28" t="str">
        <f t="shared" si="7"/>
        <v>Pro Phones 243</v>
      </c>
      <c r="AI28" t="str">
        <f t="shared" si="8"/>
        <v>Standard Class</v>
      </c>
      <c r="AJ28" s="3" t="str">
        <f t="shared" si="9"/>
        <v xml:space="preserve">  </v>
      </c>
      <c r="AK28">
        <f t="shared" si="10"/>
        <v>0</v>
      </c>
    </row>
    <row r="29" spans="1:37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  <c r="W29" t="s">
        <v>225</v>
      </c>
      <c r="X29" t="str">
        <v>29-09-25</v>
      </c>
      <c r="Y29" t="str">
        <v>05-10-25</v>
      </c>
      <c r="Z29" t="s">
        <v>228</v>
      </c>
      <c r="AA29" t="str">
        <v>Arjun Bose</v>
      </c>
      <c r="AB29" t="str">
        <f t="shared" si="1"/>
        <v>Small Business</v>
      </c>
      <c r="AC29" t="str">
        <f t="shared" si="2"/>
        <v>South</v>
      </c>
      <c r="AD29" t="str">
        <f t="shared" si="3"/>
        <v>Karnataka</v>
      </c>
      <c r="AE29" t="str">
        <f t="shared" si="4"/>
        <v>Bengaluru</v>
      </c>
      <c r="AF29" t="str">
        <f t="shared" si="5"/>
        <v>Office Supplies</v>
      </c>
      <c r="AG29" t="str">
        <f t="shared" si="6"/>
        <v>Paper</v>
      </c>
      <c r="AH29" t="str">
        <f t="shared" si="7"/>
        <v>Basic Paper 613</v>
      </c>
      <c r="AI29" t="str">
        <f t="shared" si="8"/>
        <v>Second Class</v>
      </c>
      <c r="AJ29" s="3" t="str">
        <f t="shared" si="9"/>
        <v xml:space="preserve">  </v>
      </c>
      <c r="AK29">
        <f t="shared" si="10"/>
        <v>6</v>
      </c>
    </row>
    <row r="30" spans="1:37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  <c r="W30" t="s">
        <v>232</v>
      </c>
      <c r="X30" t="str">
        <v>11-10-24</v>
      </c>
      <c r="Y30" t="str">
        <v>18-10-24</v>
      </c>
      <c r="Z30" t="s">
        <v>234</v>
      </c>
      <c r="AA30" t="str">
        <v>Ananya Rao</v>
      </c>
      <c r="AB30" t="str">
        <f t="shared" si="1"/>
        <v>Home Office</v>
      </c>
      <c r="AC30" t="str">
        <f t="shared" si="2"/>
        <v>West</v>
      </c>
      <c r="AD30" t="str">
        <f t="shared" si="3"/>
        <v>Gujarat</v>
      </c>
      <c r="AE30" t="str">
        <f t="shared" si="4"/>
        <v>Ahmedabad</v>
      </c>
      <c r="AF30" t="str">
        <f t="shared" si="5"/>
        <v>Technology</v>
      </c>
      <c r="AG30" t="str">
        <f t="shared" si="6"/>
        <v>Phones</v>
      </c>
      <c r="AH30" t="str">
        <f t="shared" si="7"/>
        <v>Prime Phones 698</v>
      </c>
      <c r="AI30" t="str">
        <f t="shared" si="8"/>
        <v>Second Class</v>
      </c>
      <c r="AJ30" s="3" t="str">
        <f t="shared" si="9"/>
        <v>anomaly</v>
      </c>
      <c r="AK30">
        <f t="shared" si="10"/>
        <v>7</v>
      </c>
    </row>
    <row r="31" spans="1:37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  <c r="W31" t="s">
        <v>238</v>
      </c>
      <c r="X31" t="str">
        <v>13-08-25</v>
      </c>
      <c r="Y31" t="str">
        <v>13-08-25</v>
      </c>
      <c r="Z31" t="s">
        <v>241</v>
      </c>
      <c r="AA31" t="str">
        <v>Rohan Mehta</v>
      </c>
      <c r="AB31" t="str">
        <f t="shared" si="1"/>
        <v>Home Office</v>
      </c>
      <c r="AC31" t="str">
        <f t="shared" si="2"/>
        <v>South</v>
      </c>
      <c r="AD31" t="str">
        <f t="shared" si="3"/>
        <v>Kerala</v>
      </c>
      <c r="AE31" t="str">
        <f t="shared" si="4"/>
        <v>Kochi</v>
      </c>
      <c r="AF31" t="str">
        <f t="shared" si="5"/>
        <v>Technology</v>
      </c>
      <c r="AG31" t="str">
        <f t="shared" si="6"/>
        <v>Phones</v>
      </c>
      <c r="AH31" t="str">
        <f t="shared" si="7"/>
        <v>Pro Phones 442</v>
      </c>
      <c r="AI31" t="str">
        <f t="shared" si="8"/>
        <v>Standard Class</v>
      </c>
      <c r="AJ31" s="3" t="str">
        <f t="shared" si="9"/>
        <v xml:space="preserve">  </v>
      </c>
      <c r="AK31">
        <f t="shared" si="10"/>
        <v>0</v>
      </c>
    </row>
    <row r="32" spans="1:37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  <c r="W32" t="s">
        <v>245</v>
      </c>
      <c r="X32" t="str">
        <v>09-02-24</v>
      </c>
      <c r="Y32" t="str">
        <v>02-12-24</v>
      </c>
      <c r="Z32" t="s">
        <v>248</v>
      </c>
      <c r="AA32" t="str">
        <v>Ananya Rao</v>
      </c>
      <c r="AB32" t="str">
        <f t="shared" si="1"/>
        <v>Corporate</v>
      </c>
      <c r="AC32" t="str">
        <f t="shared" si="2"/>
        <v>West</v>
      </c>
      <c r="AD32" t="str">
        <f t="shared" si="3"/>
        <v>Goa</v>
      </c>
      <c r="AE32" t="str">
        <f t="shared" si="4"/>
        <v>Panaji</v>
      </c>
      <c r="AF32" t="str">
        <f t="shared" si="5"/>
        <v>Office Supplies</v>
      </c>
      <c r="AG32" t="str">
        <f t="shared" si="6"/>
        <v>Labels</v>
      </c>
      <c r="AH32" t="str">
        <f t="shared" si="7"/>
        <v>Pro Labels 355</v>
      </c>
      <c r="AI32" t="str">
        <f t="shared" si="8"/>
        <v>First Class</v>
      </c>
      <c r="AJ32" s="3" t="str">
        <f t="shared" si="9"/>
        <v xml:space="preserve">  </v>
      </c>
      <c r="AK32">
        <f t="shared" si="10"/>
        <v>297</v>
      </c>
    </row>
    <row r="33" spans="1:37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  <c r="W33" t="s">
        <v>252</v>
      </c>
      <c r="X33" t="str">
        <v>15-06-25</v>
      </c>
      <c r="Y33" t="str">
        <v>19-06-25</v>
      </c>
      <c r="Z33" t="s">
        <v>255</v>
      </c>
      <c r="AA33" t="str">
        <v>Karan Malhotra</v>
      </c>
      <c r="AB33" t="str">
        <f t="shared" si="1"/>
        <v>Small Business</v>
      </c>
      <c r="AC33" t="str">
        <f t="shared" si="2"/>
        <v>West</v>
      </c>
      <c r="AD33" t="str">
        <f t="shared" si="3"/>
        <v>Madhya Pradesh</v>
      </c>
      <c r="AE33" t="str">
        <f t="shared" si="4"/>
        <v>Indore</v>
      </c>
      <c r="AF33" t="str">
        <f t="shared" si="5"/>
        <v>Office Supplies</v>
      </c>
      <c r="AG33" t="str">
        <f t="shared" si="6"/>
        <v>Paper</v>
      </c>
      <c r="AH33" t="str">
        <f t="shared" si="7"/>
        <v>Pro Paper 959</v>
      </c>
      <c r="AI33" t="str">
        <f t="shared" si="8"/>
        <v>Second Class</v>
      </c>
      <c r="AJ33" s="3" t="str">
        <f t="shared" si="9"/>
        <v>anomaly</v>
      </c>
      <c r="AK33">
        <f t="shared" si="10"/>
        <v>4</v>
      </c>
    </row>
    <row r="34" spans="1:37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  <c r="W34" t="s">
        <v>257</v>
      </c>
      <c r="X34" t="str">
        <v>22-11-24</v>
      </c>
      <c r="Y34" t="str">
        <v>26-11-24</v>
      </c>
      <c r="Z34" t="s">
        <v>260</v>
      </c>
      <c r="AA34" t="str">
        <v>Aarav Sharma</v>
      </c>
      <c r="AB34" t="str">
        <f t="shared" si="1"/>
        <v>Corporate</v>
      </c>
      <c r="AC34" t="str">
        <f t="shared" si="2"/>
        <v>South</v>
      </c>
      <c r="AD34" t="str">
        <f t="shared" si="3"/>
        <v>Andhra Pradesh</v>
      </c>
      <c r="AE34" t="str">
        <f t="shared" si="4"/>
        <v>Vijayawada</v>
      </c>
      <c r="AF34" t="str">
        <f t="shared" si="5"/>
        <v>Technology</v>
      </c>
      <c r="AG34" t="str">
        <f t="shared" si="6"/>
        <v>Phones</v>
      </c>
      <c r="AH34" t="str">
        <f t="shared" si="7"/>
        <v>Basic Phones 242</v>
      </c>
      <c r="AI34" t="str">
        <f t="shared" si="8"/>
        <v>Second Class</v>
      </c>
      <c r="AJ34" s="3" t="str">
        <f t="shared" si="9"/>
        <v>anomaly</v>
      </c>
      <c r="AK34">
        <f t="shared" si="10"/>
        <v>4</v>
      </c>
    </row>
    <row r="35" spans="1:37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  <c r="W35" t="s">
        <v>262</v>
      </c>
      <c r="X35" t="str">
        <v>invalid date</v>
      </c>
      <c r="Y35" t="str">
        <v>27-07-24</v>
      </c>
      <c r="Z35" t="s">
        <v>265</v>
      </c>
      <c r="AA35" t="str">
        <v>Priya Menon</v>
      </c>
      <c r="AB35" t="str">
        <f t="shared" si="1"/>
        <v>Home Office</v>
      </c>
      <c r="AC35" t="str">
        <f t="shared" si="2"/>
        <v>West</v>
      </c>
      <c r="AD35" t="str">
        <f t="shared" si="3"/>
        <v>Goa</v>
      </c>
      <c r="AE35" t="str">
        <f t="shared" si="4"/>
        <v>Panaji</v>
      </c>
      <c r="AF35" t="str">
        <f t="shared" si="5"/>
        <v>Furniture</v>
      </c>
      <c r="AG35" t="str">
        <f t="shared" si="6"/>
        <v>Tables</v>
      </c>
      <c r="AH35" t="str">
        <f t="shared" si="7"/>
        <v>Max Tables 836</v>
      </c>
      <c r="AI35" t="str">
        <f t="shared" si="8"/>
        <v>Same Day</v>
      </c>
      <c r="AJ35" s="3" t="str">
        <f t="shared" si="9"/>
        <v>Invalid</v>
      </c>
      <c r="AK35" t="str">
        <f t="shared" si="10"/>
        <v>invalid date</v>
      </c>
    </row>
    <row r="36" spans="1:37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  <c r="W36" t="s">
        <v>267</v>
      </c>
      <c r="X36" t="str">
        <v>31-01-25</v>
      </c>
      <c r="Y36" t="str">
        <v>05-02-25</v>
      </c>
      <c r="Z36" t="s">
        <v>270</v>
      </c>
      <c r="AA36" t="str">
        <v>Priya Menon</v>
      </c>
      <c r="AB36" t="str">
        <f t="shared" si="1"/>
        <v>Home Office</v>
      </c>
      <c r="AC36" t="str">
        <f t="shared" si="2"/>
        <v>East</v>
      </c>
      <c r="AD36" t="str">
        <f t="shared" si="3"/>
        <v>West Bengal</v>
      </c>
      <c r="AE36" t="str">
        <f t="shared" si="4"/>
        <v>Kolkata</v>
      </c>
      <c r="AF36" t="str">
        <f t="shared" si="5"/>
        <v>Furniture</v>
      </c>
      <c r="AG36" t="str">
        <f t="shared" si="6"/>
        <v>Chairs</v>
      </c>
      <c r="AH36" t="str">
        <f t="shared" si="7"/>
        <v>Elite Chairs 862</v>
      </c>
      <c r="AI36" s="5" t="s">
        <v>4116</v>
      </c>
      <c r="AJ36" s="3" t="str">
        <f t="shared" si="9"/>
        <v xml:space="preserve">  </v>
      </c>
      <c r="AK36">
        <f t="shared" si="10"/>
        <v>5</v>
      </c>
    </row>
    <row r="37" spans="1:37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  <c r="W37" t="s">
        <v>272</v>
      </c>
      <c r="X37" t="str">
        <v>29-05-24</v>
      </c>
      <c r="Y37" t="str">
        <v>29-05-24</v>
      </c>
      <c r="Z37" t="s">
        <v>275</v>
      </c>
      <c r="AA37" t="str">
        <v>Sneha Kapoor</v>
      </c>
      <c r="AB37" t="str">
        <f t="shared" si="1"/>
        <v>Small Business</v>
      </c>
      <c r="AC37" t="str">
        <f t="shared" si="2"/>
        <v>West</v>
      </c>
      <c r="AD37" t="str">
        <f t="shared" si="3"/>
        <v>Gujarat</v>
      </c>
      <c r="AE37" t="str">
        <f t="shared" si="4"/>
        <v>Ahmedabad</v>
      </c>
      <c r="AF37" t="str">
        <f t="shared" si="5"/>
        <v>Furniture</v>
      </c>
      <c r="AG37" t="str">
        <f t="shared" si="6"/>
        <v>Bookcases</v>
      </c>
      <c r="AH37" t="str">
        <f t="shared" si="7"/>
        <v>Prime Bookcases 414</v>
      </c>
      <c r="AI37" t="str">
        <f t="shared" si="8"/>
        <v>Second Class</v>
      </c>
      <c r="AJ37" s="3" t="str">
        <f t="shared" si="9"/>
        <v xml:space="preserve">  </v>
      </c>
      <c r="AK37">
        <f t="shared" si="10"/>
        <v>0</v>
      </c>
    </row>
    <row r="38" spans="1:37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  <c r="W38" t="s">
        <v>277</v>
      </c>
      <c r="X38" t="str">
        <v>25-10-24</v>
      </c>
      <c r="Y38" t="str">
        <v>28-10-24</v>
      </c>
      <c r="Z38" t="s">
        <v>280</v>
      </c>
      <c r="AA38" t="str">
        <v>Rohan Mehta</v>
      </c>
      <c r="AB38" t="str">
        <f t="shared" si="1"/>
        <v>Corporate</v>
      </c>
      <c r="AC38" t="str">
        <f t="shared" si="2"/>
        <v>West</v>
      </c>
      <c r="AD38" t="str">
        <f t="shared" si="3"/>
        <v>Maharashtra</v>
      </c>
      <c r="AE38" t="str">
        <f t="shared" si="4"/>
        <v>Mumbai</v>
      </c>
      <c r="AF38" t="str">
        <f t="shared" si="5"/>
        <v>Furniture</v>
      </c>
      <c r="AG38" t="str">
        <f t="shared" si="6"/>
        <v>Bookcases</v>
      </c>
      <c r="AH38" t="str">
        <f t="shared" si="7"/>
        <v>Eco Bookcases 220</v>
      </c>
      <c r="AI38" t="str">
        <f t="shared" si="8"/>
        <v>Second Class</v>
      </c>
      <c r="AJ38" s="3" t="str">
        <f t="shared" si="9"/>
        <v>anomaly</v>
      </c>
      <c r="AK38">
        <f t="shared" si="10"/>
        <v>3</v>
      </c>
    </row>
    <row r="39" spans="1:37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  <c r="W39" t="s">
        <v>282</v>
      </c>
      <c r="X39" t="str">
        <v>29-07-25</v>
      </c>
      <c r="Y39" t="str">
        <v>29-07-25</v>
      </c>
      <c r="Z39" t="s">
        <v>284</v>
      </c>
      <c r="AA39" t="str">
        <v>Diya Patel</v>
      </c>
      <c r="AB39" t="str">
        <f t="shared" si="1"/>
        <v>Consumer</v>
      </c>
      <c r="AC39" t="str">
        <f t="shared" si="2"/>
        <v>West</v>
      </c>
      <c r="AD39" t="str">
        <f t="shared" si="3"/>
        <v>Maharashtra</v>
      </c>
      <c r="AE39" t="str">
        <f t="shared" si="4"/>
        <v>Mumbai</v>
      </c>
      <c r="AF39" t="str">
        <f t="shared" si="5"/>
        <v>Technology</v>
      </c>
      <c r="AG39" t="str">
        <f t="shared" si="6"/>
        <v>Copiers</v>
      </c>
      <c r="AH39" t="str">
        <f t="shared" si="7"/>
        <v>Pro Copiers 830</v>
      </c>
      <c r="AI39" t="str">
        <f t="shared" si="8"/>
        <v>Standard Class</v>
      </c>
      <c r="AJ39" s="3" t="str">
        <f t="shared" si="9"/>
        <v xml:space="preserve">  </v>
      </c>
      <c r="AK39">
        <f t="shared" si="10"/>
        <v>0</v>
      </c>
    </row>
    <row r="40" spans="1:37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  <c r="W40" t="s">
        <v>287</v>
      </c>
      <c r="X40" t="str">
        <v>17-06-24</v>
      </c>
      <c r="Y40" t="str">
        <v>22-06-24</v>
      </c>
      <c r="Z40" t="s">
        <v>290</v>
      </c>
      <c r="AA40" t="str">
        <v>Aarav Sharma</v>
      </c>
      <c r="AB40" t="str">
        <f t="shared" si="1"/>
        <v>Corporate</v>
      </c>
      <c r="AC40" t="str">
        <f t="shared" si="2"/>
        <v>West</v>
      </c>
      <c r="AD40" t="str">
        <f t="shared" si="3"/>
        <v>Gujarat</v>
      </c>
      <c r="AE40" t="str">
        <f t="shared" si="4"/>
        <v>Ahmedabad</v>
      </c>
      <c r="AF40" t="str">
        <f t="shared" si="5"/>
        <v>Technology</v>
      </c>
      <c r="AG40" t="str">
        <f t="shared" si="6"/>
        <v>Phones</v>
      </c>
      <c r="AH40" t="str">
        <f t="shared" si="7"/>
        <v>Prime Phones 507</v>
      </c>
      <c r="AI40" t="str">
        <f t="shared" si="8"/>
        <v>First Class</v>
      </c>
      <c r="AJ40" s="3" t="str">
        <f t="shared" si="9"/>
        <v>anomaly</v>
      </c>
      <c r="AK40">
        <f t="shared" si="10"/>
        <v>5</v>
      </c>
    </row>
    <row r="41" spans="1:37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  <c r="W41" t="s">
        <v>292</v>
      </c>
      <c r="X41" t="str">
        <v>12-11-24</v>
      </c>
      <c r="Y41" t="str">
        <v>11-12-24</v>
      </c>
      <c r="Z41" t="s">
        <v>295</v>
      </c>
      <c r="AA41" t="str">
        <v>Mira Das</v>
      </c>
      <c r="AB41" t="str">
        <f t="shared" si="1"/>
        <v>Small Business</v>
      </c>
      <c r="AC41" t="str">
        <f t="shared" si="2"/>
        <v>West</v>
      </c>
      <c r="AD41" t="str">
        <f t="shared" si="3"/>
        <v>Madhya Pradesh</v>
      </c>
      <c r="AE41" t="str">
        <f t="shared" si="4"/>
        <v>Indore</v>
      </c>
      <c r="AF41" t="str">
        <f t="shared" si="5"/>
        <v>Technology</v>
      </c>
      <c r="AG41" t="str">
        <f t="shared" si="6"/>
        <v>Copiers</v>
      </c>
      <c r="AH41" t="str">
        <f t="shared" si="7"/>
        <v>Classic Copiers 590</v>
      </c>
      <c r="AI41" t="str">
        <f t="shared" si="8"/>
        <v>First Class</v>
      </c>
      <c r="AJ41" s="3" t="str">
        <f t="shared" si="9"/>
        <v xml:space="preserve">  </v>
      </c>
      <c r="AK41">
        <f t="shared" si="10"/>
        <v>29</v>
      </c>
    </row>
    <row r="42" spans="1:37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  <c r="W42" t="s">
        <v>297</v>
      </c>
      <c r="X42" t="str">
        <v>10-10-24</v>
      </c>
      <c r="Y42" t="str">
        <v>16-10-24</v>
      </c>
      <c r="Z42" t="s">
        <v>300</v>
      </c>
      <c r="AA42" t="str">
        <v>Isha Nair</v>
      </c>
      <c r="AB42" t="str">
        <f t="shared" si="1"/>
        <v>Home Office</v>
      </c>
      <c r="AC42" t="str">
        <f t="shared" si="2"/>
        <v>West</v>
      </c>
      <c r="AD42" t="str">
        <f t="shared" si="3"/>
        <v>Rajasthan</v>
      </c>
      <c r="AE42" t="str">
        <f t="shared" si="4"/>
        <v>Udaipur</v>
      </c>
      <c r="AF42" t="str">
        <f t="shared" si="5"/>
        <v>Technology</v>
      </c>
      <c r="AG42" t="str">
        <f t="shared" si="6"/>
        <v>Copiers</v>
      </c>
      <c r="AH42" t="str">
        <f t="shared" si="7"/>
        <v>Eco Copiers 865</v>
      </c>
      <c r="AI42" t="str">
        <f t="shared" si="8"/>
        <v>Standard Class</v>
      </c>
      <c r="AJ42" s="3" t="str">
        <f t="shared" si="9"/>
        <v>anomaly</v>
      </c>
      <c r="AK42">
        <f t="shared" si="10"/>
        <v>6</v>
      </c>
    </row>
    <row r="43" spans="1:37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  <c r="W43" t="s">
        <v>302</v>
      </c>
      <c r="X43" t="str">
        <v>03-12-24</v>
      </c>
      <c r="Y43" t="str">
        <v>17-03-24</v>
      </c>
      <c r="Z43" t="s">
        <v>305</v>
      </c>
      <c r="AA43" t="str">
        <v>Aarav Sharma</v>
      </c>
      <c r="AB43" t="str">
        <f t="shared" si="1"/>
        <v>Small Business</v>
      </c>
      <c r="AC43" t="str">
        <f t="shared" si="2"/>
        <v>East</v>
      </c>
      <c r="AD43" t="str">
        <f t="shared" si="3"/>
        <v>Odisha</v>
      </c>
      <c r="AE43" t="str">
        <f t="shared" si="4"/>
        <v>Bhubaneswar</v>
      </c>
      <c r="AF43" t="str">
        <f t="shared" si="5"/>
        <v>Furniture</v>
      </c>
      <c r="AG43" t="str">
        <f t="shared" si="6"/>
        <v>Bookcases</v>
      </c>
      <c r="AH43" t="str">
        <f t="shared" si="7"/>
        <v>Classic Bookcases 835</v>
      </c>
      <c r="AI43" t="str">
        <f t="shared" si="8"/>
        <v>Same Day</v>
      </c>
      <c r="AJ43" s="3" t="str">
        <f t="shared" si="9"/>
        <v>anomaly</v>
      </c>
      <c r="AK43">
        <f t="shared" si="10"/>
        <v>-261</v>
      </c>
    </row>
    <row r="44" spans="1:37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  <c r="W44" t="s">
        <v>307</v>
      </c>
      <c r="X44" t="str">
        <v>10-10-25</v>
      </c>
      <c r="Y44" t="str">
        <v>15-10-25</v>
      </c>
      <c r="Z44" t="s">
        <v>310</v>
      </c>
      <c r="AA44" t="str">
        <v>Arjun Bose</v>
      </c>
      <c r="AB44" t="str">
        <f t="shared" si="1"/>
        <v>Corporate</v>
      </c>
      <c r="AC44" t="str">
        <f t="shared" si="2"/>
        <v>East</v>
      </c>
      <c r="AD44" t="str">
        <f t="shared" si="3"/>
        <v>Jharkhand</v>
      </c>
      <c r="AE44" t="str">
        <f t="shared" si="4"/>
        <v>Ranchi</v>
      </c>
      <c r="AF44" t="str">
        <f t="shared" si="5"/>
        <v>Technology</v>
      </c>
      <c r="AG44" t="str">
        <f t="shared" si="6"/>
        <v>Phones</v>
      </c>
      <c r="AH44" t="str">
        <f t="shared" si="7"/>
        <v>Eco Phones 702</v>
      </c>
      <c r="AI44" t="str">
        <f t="shared" si="8"/>
        <v>Standard Class</v>
      </c>
      <c r="AJ44" s="3" t="str">
        <f t="shared" si="9"/>
        <v>anomaly</v>
      </c>
      <c r="AK44">
        <f t="shared" si="10"/>
        <v>5</v>
      </c>
    </row>
    <row r="45" spans="1:37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  <c r="W45" t="s">
        <v>314</v>
      </c>
      <c r="X45" t="str">
        <v>07-08-24</v>
      </c>
      <c r="Y45" t="str">
        <v>invalid date</v>
      </c>
      <c r="Z45" t="s">
        <v>317</v>
      </c>
      <c r="AA45" t="str">
        <v>Priya Menon</v>
      </c>
      <c r="AB45" t="str">
        <f t="shared" si="1"/>
        <v>Small Business</v>
      </c>
      <c r="AC45" t="str">
        <f t="shared" si="2"/>
        <v>East</v>
      </c>
      <c r="AD45" t="str">
        <f t="shared" si="3"/>
        <v>Odisha</v>
      </c>
      <c r="AE45" t="str">
        <f t="shared" si="4"/>
        <v>Bhubaneswar</v>
      </c>
      <c r="AF45" t="str">
        <f t="shared" si="5"/>
        <v>Furniture</v>
      </c>
      <c r="AG45" t="str">
        <f t="shared" si="6"/>
        <v>Furnishings</v>
      </c>
      <c r="AH45" t="str">
        <f t="shared" si="7"/>
        <v>Smart Furnishings 956</v>
      </c>
      <c r="AI45" t="str">
        <f t="shared" si="8"/>
        <v>Same Day</v>
      </c>
      <c r="AJ45" s="3" t="str">
        <f t="shared" si="9"/>
        <v>Invalid</v>
      </c>
      <c r="AK45" t="str">
        <f t="shared" si="10"/>
        <v>invalid date</v>
      </c>
    </row>
    <row r="46" spans="1:37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  <c r="W46" t="s">
        <v>319</v>
      </c>
      <c r="X46" t="str">
        <v>invalid date</v>
      </c>
      <c r="Y46" t="str">
        <v>25-06-24</v>
      </c>
      <c r="Z46" t="s">
        <v>322</v>
      </c>
      <c r="AA46" t="str">
        <v>Rohan Mehta</v>
      </c>
      <c r="AB46" t="str">
        <f t="shared" si="1"/>
        <v>Small Business</v>
      </c>
      <c r="AC46" t="str">
        <f t="shared" si="2"/>
        <v>North</v>
      </c>
      <c r="AD46" t="str">
        <f t="shared" si="3"/>
        <v>Haryana</v>
      </c>
      <c r="AE46" t="str">
        <f t="shared" si="4"/>
        <v>Gurugram</v>
      </c>
      <c r="AF46" t="str">
        <f t="shared" si="5"/>
        <v>Furniture</v>
      </c>
      <c r="AG46" t="str">
        <f t="shared" si="6"/>
        <v>Chairs</v>
      </c>
      <c r="AH46" t="str">
        <f t="shared" si="7"/>
        <v>Max Chairs 393</v>
      </c>
      <c r="AI46" t="str">
        <f t="shared" si="8"/>
        <v>Standard Class</v>
      </c>
      <c r="AJ46" s="3" t="str">
        <f t="shared" si="9"/>
        <v>Invalid</v>
      </c>
      <c r="AK46" t="str">
        <f t="shared" si="10"/>
        <v>invalid date</v>
      </c>
    </row>
    <row r="47" spans="1:37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  <c r="W47" t="s">
        <v>326</v>
      </c>
      <c r="X47" t="str">
        <v>18-01-24</v>
      </c>
      <c r="Y47" t="str">
        <v>24-01-24</v>
      </c>
      <c r="Z47" t="s">
        <v>329</v>
      </c>
      <c r="AA47" t="str">
        <v>Isha Nair</v>
      </c>
      <c r="AB47" t="str">
        <f t="shared" si="1"/>
        <v>Home Office</v>
      </c>
      <c r="AC47" t="str">
        <f t="shared" si="2"/>
        <v>East</v>
      </c>
      <c r="AD47" t="str">
        <f t="shared" si="3"/>
        <v>Bihar</v>
      </c>
      <c r="AE47" t="str">
        <f t="shared" si="4"/>
        <v>Patna</v>
      </c>
      <c r="AF47" t="str">
        <f t="shared" si="5"/>
        <v>Office Supplies</v>
      </c>
      <c r="AG47" t="str">
        <f t="shared" si="6"/>
        <v>Art</v>
      </c>
      <c r="AH47" t="str">
        <f t="shared" si="7"/>
        <v>Prime Art 221</v>
      </c>
      <c r="AI47" t="str">
        <f t="shared" si="8"/>
        <v>Second Class</v>
      </c>
      <c r="AJ47" s="3" t="str">
        <f t="shared" si="9"/>
        <v>anomaly</v>
      </c>
      <c r="AK47">
        <f t="shared" si="10"/>
        <v>6</v>
      </c>
    </row>
    <row r="48" spans="1:37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  <c r="W48" t="s">
        <v>331</v>
      </c>
      <c r="X48" t="str">
        <v>19-07-24</v>
      </c>
      <c r="Y48" t="str">
        <v>19-07-24</v>
      </c>
      <c r="Z48" t="s">
        <v>333</v>
      </c>
      <c r="AA48" t="str">
        <v>Ananya Rao</v>
      </c>
      <c r="AB48" t="str">
        <f t="shared" si="1"/>
        <v>Small Business</v>
      </c>
      <c r="AC48" t="str">
        <f t="shared" si="2"/>
        <v>South</v>
      </c>
      <c r="AD48" t="str">
        <f t="shared" si="3"/>
        <v>Kerala</v>
      </c>
      <c r="AE48" t="str">
        <f t="shared" si="4"/>
        <v>Kochi</v>
      </c>
      <c r="AF48" t="str">
        <f t="shared" si="5"/>
        <v>Furniture</v>
      </c>
      <c r="AG48" t="str">
        <f t="shared" si="6"/>
        <v>Bookcases</v>
      </c>
      <c r="AH48" t="str">
        <f t="shared" si="7"/>
        <v>Elite Bookcases 671</v>
      </c>
      <c r="AI48" t="str">
        <f t="shared" si="8"/>
        <v>Standard Class</v>
      </c>
      <c r="AJ48" s="3" t="str">
        <f t="shared" si="9"/>
        <v xml:space="preserve">  </v>
      </c>
      <c r="AK48">
        <f t="shared" si="10"/>
        <v>0</v>
      </c>
    </row>
    <row r="49" spans="1:37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  <c r="W49" t="s">
        <v>335</v>
      </c>
      <c r="X49" t="str">
        <v>12-08-24</v>
      </c>
      <c r="Y49" t="str">
        <v>12-08-24</v>
      </c>
      <c r="Z49" t="s">
        <v>338</v>
      </c>
      <c r="AA49" t="str">
        <v>Rahul Verma</v>
      </c>
      <c r="AB49" t="str">
        <f t="shared" si="1"/>
        <v>Corporate</v>
      </c>
      <c r="AC49" t="str">
        <f t="shared" si="2"/>
        <v>South</v>
      </c>
      <c r="AD49" t="str">
        <f t="shared" si="3"/>
        <v>Tamil Nadu</v>
      </c>
      <c r="AE49" t="str">
        <f t="shared" si="4"/>
        <v>Chennai</v>
      </c>
      <c r="AF49" t="str">
        <f t="shared" si="5"/>
        <v>Office Supplies</v>
      </c>
      <c r="AG49" t="str">
        <f t="shared" si="6"/>
        <v>Storage</v>
      </c>
      <c r="AH49" t="str">
        <f t="shared" si="7"/>
        <v>Max Storage 432</v>
      </c>
      <c r="AI49" t="str">
        <f t="shared" si="8"/>
        <v>Standard Class</v>
      </c>
      <c r="AJ49" s="3" t="str">
        <f t="shared" si="9"/>
        <v xml:space="preserve">  </v>
      </c>
      <c r="AK49">
        <f t="shared" si="10"/>
        <v>0</v>
      </c>
    </row>
    <row r="50" spans="1:37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  <c r="W50" t="s">
        <v>342</v>
      </c>
      <c r="X50" t="str">
        <v>30-01-25</v>
      </c>
      <c r="Y50" t="str">
        <v>05-02-25</v>
      </c>
      <c r="Z50" t="s">
        <v>345</v>
      </c>
      <c r="AA50" t="str">
        <v>Neha Gupta</v>
      </c>
      <c r="AB50" t="str">
        <f t="shared" si="1"/>
        <v>Corporate</v>
      </c>
      <c r="AC50" t="str">
        <f t="shared" si="2"/>
        <v>West</v>
      </c>
      <c r="AD50" t="str">
        <f t="shared" si="3"/>
        <v>Maharashtra</v>
      </c>
      <c r="AE50" t="str">
        <f t="shared" si="4"/>
        <v>Mumbai</v>
      </c>
      <c r="AF50" t="str">
        <f t="shared" si="5"/>
        <v>Furniture</v>
      </c>
      <c r="AG50" t="str">
        <f t="shared" si="6"/>
        <v>Chairs</v>
      </c>
      <c r="AH50" t="str">
        <f t="shared" si="7"/>
        <v>Basic Chairs 837</v>
      </c>
      <c r="AI50" t="str">
        <f t="shared" si="8"/>
        <v>Second Class</v>
      </c>
      <c r="AJ50" s="3" t="str">
        <f t="shared" si="9"/>
        <v xml:space="preserve">  </v>
      </c>
      <c r="AK50">
        <f t="shared" si="10"/>
        <v>6</v>
      </c>
    </row>
    <row r="51" spans="1:37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  <c r="W51" t="s">
        <v>347</v>
      </c>
      <c r="X51" t="str">
        <v>06-04-24</v>
      </c>
      <c r="Y51" t="str">
        <v>13-04-24</v>
      </c>
      <c r="Z51" t="s">
        <v>350</v>
      </c>
      <c r="AA51" t="str">
        <v>Aarav Sharma</v>
      </c>
      <c r="AB51" t="str">
        <f t="shared" si="1"/>
        <v>Home Office</v>
      </c>
      <c r="AC51" t="str">
        <f t="shared" si="2"/>
        <v>North</v>
      </c>
      <c r="AD51" t="str">
        <f t="shared" si="3"/>
        <v>Uttar Pradesh</v>
      </c>
      <c r="AE51" t="str">
        <f t="shared" si="4"/>
        <v>Noida</v>
      </c>
      <c r="AF51" t="str">
        <f t="shared" si="5"/>
        <v>Technology</v>
      </c>
      <c r="AG51" t="str">
        <f t="shared" si="6"/>
        <v>Copiers</v>
      </c>
      <c r="AH51" t="str">
        <f t="shared" si="7"/>
        <v>Classic Copiers 295</v>
      </c>
      <c r="AI51" t="str">
        <f t="shared" si="8"/>
        <v>Second Class</v>
      </c>
      <c r="AJ51" s="3" t="str">
        <f t="shared" si="9"/>
        <v>anomaly</v>
      </c>
      <c r="AK51">
        <f t="shared" si="10"/>
        <v>7</v>
      </c>
    </row>
    <row r="52" spans="1:37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  <c r="W52" t="s">
        <v>352</v>
      </c>
      <c r="X52" t="str">
        <v>05-11-25</v>
      </c>
      <c r="Y52" t="str">
        <v>19-05-25</v>
      </c>
      <c r="Z52" t="s">
        <v>355</v>
      </c>
      <c r="AA52" t="str">
        <v>Sneha Kapoor</v>
      </c>
      <c r="AB52" t="str">
        <f t="shared" si="1"/>
        <v>Consumer</v>
      </c>
      <c r="AC52" t="str">
        <f t="shared" si="2"/>
        <v>East</v>
      </c>
      <c r="AD52" t="str">
        <f t="shared" si="3"/>
        <v>West Bengal</v>
      </c>
      <c r="AE52" t="str">
        <f t="shared" si="4"/>
        <v>Kolkata</v>
      </c>
      <c r="AF52" t="str">
        <f t="shared" si="5"/>
        <v>Technology</v>
      </c>
      <c r="AG52" t="str">
        <f t="shared" si="6"/>
        <v>Copiers</v>
      </c>
      <c r="AH52" t="str">
        <f t="shared" si="7"/>
        <v>Pro Copiers 963</v>
      </c>
      <c r="AI52" t="str">
        <f t="shared" si="8"/>
        <v>Standard Class</v>
      </c>
      <c r="AJ52" s="3" t="str">
        <f t="shared" si="9"/>
        <v>anomaly</v>
      </c>
      <c r="AK52">
        <f t="shared" si="10"/>
        <v>-170</v>
      </c>
    </row>
    <row r="53" spans="1:37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  <c r="W53" t="s">
        <v>357</v>
      </c>
      <c r="X53" t="str">
        <v>24-04-24</v>
      </c>
      <c r="Y53" t="str">
        <v>29-04-24</v>
      </c>
      <c r="Z53" t="s">
        <v>360</v>
      </c>
      <c r="AA53" t="str">
        <v>Ananya Rao</v>
      </c>
      <c r="AB53" t="str">
        <f t="shared" si="1"/>
        <v>Corporate</v>
      </c>
      <c r="AC53" t="str">
        <f t="shared" si="2"/>
        <v>South</v>
      </c>
      <c r="AD53" t="str">
        <f t="shared" si="3"/>
        <v>Telangana</v>
      </c>
      <c r="AE53" t="str">
        <f t="shared" si="4"/>
        <v>Hyderabad</v>
      </c>
      <c r="AF53" t="str">
        <f t="shared" si="5"/>
        <v>Office Supplies</v>
      </c>
      <c r="AG53" t="str">
        <f t="shared" si="6"/>
        <v>Art</v>
      </c>
      <c r="AH53" t="str">
        <f t="shared" si="7"/>
        <v>Pro Art 907</v>
      </c>
      <c r="AI53" t="str">
        <f t="shared" si="8"/>
        <v>Standard Class</v>
      </c>
      <c r="AJ53" s="3" t="str">
        <f t="shared" si="9"/>
        <v>anomaly</v>
      </c>
      <c r="AK53">
        <f t="shared" si="10"/>
        <v>5</v>
      </c>
    </row>
    <row r="54" spans="1:37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  <c r="W54" t="s">
        <v>362</v>
      </c>
      <c r="X54" t="str">
        <v>26-10-24</v>
      </c>
      <c r="Y54" t="str">
        <v>28-10-24</v>
      </c>
      <c r="Z54" t="s">
        <v>365</v>
      </c>
      <c r="AA54" t="str">
        <v>Kabir Singh</v>
      </c>
      <c r="AB54" t="str">
        <f t="shared" si="1"/>
        <v>Small Business</v>
      </c>
      <c r="AC54" t="str">
        <f t="shared" si="2"/>
        <v>North</v>
      </c>
      <c r="AD54" t="str">
        <f t="shared" si="3"/>
        <v>Rajasthan</v>
      </c>
      <c r="AE54" t="str">
        <f t="shared" si="4"/>
        <v>Jaipur</v>
      </c>
      <c r="AF54" t="str">
        <f t="shared" si="5"/>
        <v>Furniture</v>
      </c>
      <c r="AG54" t="str">
        <f t="shared" si="6"/>
        <v>Chairs</v>
      </c>
      <c r="AH54" t="str">
        <f t="shared" si="7"/>
        <v>Pro Chairs 526</v>
      </c>
      <c r="AI54" t="str">
        <f t="shared" si="8"/>
        <v>First Class</v>
      </c>
      <c r="AJ54" s="3" t="str">
        <f t="shared" si="9"/>
        <v>anomaly</v>
      </c>
      <c r="AK54">
        <f t="shared" si="10"/>
        <v>2</v>
      </c>
    </row>
    <row r="55" spans="1:37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  <c r="W55" t="s">
        <v>368</v>
      </c>
      <c r="X55" t="str">
        <v>31-03-25</v>
      </c>
      <c r="Y55" t="str">
        <v>31-03-25</v>
      </c>
      <c r="Z55" t="s">
        <v>371</v>
      </c>
      <c r="AA55" t="str">
        <v>Kabir Singh</v>
      </c>
      <c r="AB55" t="str">
        <f t="shared" si="1"/>
        <v>Home Office</v>
      </c>
      <c r="AC55" t="str">
        <f t="shared" si="2"/>
        <v>West</v>
      </c>
      <c r="AD55" t="str">
        <f t="shared" si="3"/>
        <v>Gujarat</v>
      </c>
      <c r="AE55" t="str">
        <f t="shared" si="4"/>
        <v>Ahmedabad</v>
      </c>
      <c r="AF55" t="str">
        <f t="shared" si="5"/>
        <v>Office Supplies</v>
      </c>
      <c r="AG55" t="str">
        <f t="shared" si="6"/>
        <v>Storage</v>
      </c>
      <c r="AH55" t="str">
        <f t="shared" si="7"/>
        <v>Elite Storage 924</v>
      </c>
      <c r="AI55" t="str">
        <f t="shared" si="8"/>
        <v>First Class</v>
      </c>
      <c r="AJ55" s="3" t="str">
        <f t="shared" si="9"/>
        <v xml:space="preserve">  </v>
      </c>
      <c r="AK55">
        <f t="shared" si="10"/>
        <v>0</v>
      </c>
    </row>
    <row r="56" spans="1:37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  <c r="W56" t="s">
        <v>373</v>
      </c>
      <c r="X56" t="str">
        <v>30-05-25</v>
      </c>
      <c r="Y56" t="str">
        <v>02-06-25</v>
      </c>
      <c r="Z56" t="s">
        <v>376</v>
      </c>
      <c r="AA56" t="str">
        <v>Arjun Bose</v>
      </c>
      <c r="AB56" t="str">
        <f t="shared" si="1"/>
        <v>Corporate</v>
      </c>
      <c r="AC56" t="str">
        <f t="shared" si="2"/>
        <v>South</v>
      </c>
      <c r="AD56" t="str">
        <f t="shared" si="3"/>
        <v>Tamil Nadu</v>
      </c>
      <c r="AE56" t="str">
        <f t="shared" si="4"/>
        <v>Chennai</v>
      </c>
      <c r="AF56" t="str">
        <f t="shared" si="5"/>
        <v>Office Supplies</v>
      </c>
      <c r="AG56" t="str">
        <f t="shared" si="6"/>
        <v>Labels</v>
      </c>
      <c r="AH56" t="str">
        <f t="shared" si="7"/>
        <v>Pro Labels 957</v>
      </c>
      <c r="AI56" t="str">
        <f t="shared" si="8"/>
        <v>Same Day</v>
      </c>
      <c r="AJ56" s="3" t="str">
        <f t="shared" si="9"/>
        <v xml:space="preserve">  </v>
      </c>
      <c r="AK56">
        <f t="shared" si="10"/>
        <v>3</v>
      </c>
    </row>
    <row r="57" spans="1:37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  <c r="W57" t="s">
        <v>378</v>
      </c>
      <c r="X57" t="str">
        <v>01-07-25</v>
      </c>
      <c r="Y57" t="str">
        <v>03-07-25</v>
      </c>
      <c r="Z57" t="s">
        <v>381</v>
      </c>
      <c r="AA57" t="str">
        <v>Mira Das</v>
      </c>
      <c r="AB57" t="str">
        <f t="shared" si="1"/>
        <v>Small Business</v>
      </c>
      <c r="AC57" t="str">
        <f t="shared" si="2"/>
        <v>South</v>
      </c>
      <c r="AD57" t="str">
        <f t="shared" si="3"/>
        <v>Andhra Pradesh</v>
      </c>
      <c r="AE57" t="str">
        <f t="shared" si="4"/>
        <v>Vijayawada</v>
      </c>
      <c r="AF57" t="str">
        <f t="shared" si="5"/>
        <v>Technology</v>
      </c>
      <c r="AG57" t="str">
        <f t="shared" si="6"/>
        <v>Machines</v>
      </c>
      <c r="AH57" t="str">
        <f t="shared" si="7"/>
        <v>Classic Machines 310</v>
      </c>
      <c r="AI57" t="str">
        <f t="shared" si="8"/>
        <v>Same Day</v>
      </c>
      <c r="AJ57" s="3" t="str">
        <f t="shared" si="9"/>
        <v>anomaly</v>
      </c>
      <c r="AK57">
        <f t="shared" si="10"/>
        <v>2</v>
      </c>
    </row>
    <row r="58" spans="1:37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  <c r="W58" t="s">
        <v>384</v>
      </c>
      <c r="X58" t="str">
        <v>05-01-25</v>
      </c>
      <c r="Y58" t="str">
        <v>06-01-25</v>
      </c>
      <c r="Z58" t="s">
        <v>387</v>
      </c>
      <c r="AA58" t="str">
        <v>Karan Malhotra</v>
      </c>
      <c r="AB58" t="str">
        <f t="shared" si="1"/>
        <v>Consumer</v>
      </c>
      <c r="AC58" t="str">
        <f t="shared" si="2"/>
        <v>South</v>
      </c>
      <c r="AD58" t="str">
        <f t="shared" si="3"/>
        <v>Karnataka</v>
      </c>
      <c r="AE58" t="str">
        <f t="shared" si="4"/>
        <v>Bengaluru</v>
      </c>
      <c r="AF58" t="str">
        <f t="shared" si="5"/>
        <v>Office Supplies</v>
      </c>
      <c r="AG58" t="str">
        <f t="shared" si="6"/>
        <v>Binders</v>
      </c>
      <c r="AH58" t="str">
        <f t="shared" si="7"/>
        <v>Smart Binders 393</v>
      </c>
      <c r="AI58" t="str">
        <f t="shared" si="8"/>
        <v>Second Class</v>
      </c>
      <c r="AJ58" s="3" t="str">
        <f t="shared" si="9"/>
        <v>anomaly</v>
      </c>
      <c r="AK58">
        <f t="shared" si="10"/>
        <v>1</v>
      </c>
    </row>
    <row r="59" spans="1:37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  <c r="W59" t="s">
        <v>389</v>
      </c>
      <c r="X59" t="str">
        <v>07-02-24</v>
      </c>
      <c r="Y59" t="str">
        <v>15-02-24</v>
      </c>
      <c r="Z59" t="s">
        <v>392</v>
      </c>
      <c r="AA59" t="str">
        <v>Priya Menon</v>
      </c>
      <c r="AB59" t="str">
        <f t="shared" si="1"/>
        <v>Consumer</v>
      </c>
      <c r="AC59" t="str">
        <f t="shared" si="2"/>
        <v>West</v>
      </c>
      <c r="AD59" t="str">
        <f t="shared" si="3"/>
        <v>Goa</v>
      </c>
      <c r="AE59" t="str">
        <f t="shared" si="4"/>
        <v>Panaji</v>
      </c>
      <c r="AF59" t="str">
        <f t="shared" si="5"/>
        <v>Furniture</v>
      </c>
      <c r="AG59" t="str">
        <f t="shared" si="6"/>
        <v>Chairs</v>
      </c>
      <c r="AH59" t="str">
        <f t="shared" si="7"/>
        <v>Max Chairs 813</v>
      </c>
      <c r="AI59" t="str">
        <f t="shared" si="8"/>
        <v>Same Day</v>
      </c>
      <c r="AJ59" s="3" t="str">
        <f t="shared" si="9"/>
        <v>anomaly</v>
      </c>
      <c r="AK59">
        <f t="shared" si="10"/>
        <v>8</v>
      </c>
    </row>
    <row r="60" spans="1:37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  <c r="W60" t="s">
        <v>394</v>
      </c>
      <c r="X60" t="str">
        <v>01-09-24</v>
      </c>
      <c r="Y60" t="str">
        <v>07-09-24</v>
      </c>
      <c r="Z60" t="s">
        <v>397</v>
      </c>
      <c r="AA60" t="str">
        <v>Isha Nair</v>
      </c>
      <c r="AB60" t="str">
        <f t="shared" si="1"/>
        <v>Home Office</v>
      </c>
      <c r="AC60" t="str">
        <f t="shared" si="2"/>
        <v>North</v>
      </c>
      <c r="AD60" t="str">
        <f t="shared" si="3"/>
        <v>Rajasthan</v>
      </c>
      <c r="AE60" t="str">
        <f t="shared" si="4"/>
        <v>Jaipur</v>
      </c>
      <c r="AF60" t="str">
        <f t="shared" si="5"/>
        <v>Office Supplies</v>
      </c>
      <c r="AG60" t="str">
        <f t="shared" si="6"/>
        <v>Storage</v>
      </c>
      <c r="AH60" t="str">
        <f t="shared" si="7"/>
        <v>Basic Storage 872</v>
      </c>
      <c r="AI60" s="5" t="s">
        <v>4116</v>
      </c>
      <c r="AJ60" s="3" t="str">
        <f t="shared" si="9"/>
        <v>anomaly</v>
      </c>
      <c r="AK60">
        <f t="shared" si="10"/>
        <v>6</v>
      </c>
    </row>
    <row r="61" spans="1:37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  <c r="W61" t="s">
        <v>399</v>
      </c>
      <c r="X61" t="str">
        <v>20-07-24</v>
      </c>
      <c r="Y61" t="str">
        <v>25-07-24</v>
      </c>
      <c r="Z61" t="s">
        <v>402</v>
      </c>
      <c r="AA61" t="str">
        <v>Priya Menon</v>
      </c>
      <c r="AB61" t="str">
        <f t="shared" si="1"/>
        <v>Corporate</v>
      </c>
      <c r="AC61" t="str">
        <f t="shared" si="2"/>
        <v>East</v>
      </c>
      <c r="AD61" t="str">
        <f t="shared" si="3"/>
        <v>Assam</v>
      </c>
      <c r="AE61" t="str">
        <f t="shared" si="4"/>
        <v>Guwahati</v>
      </c>
      <c r="AF61" t="str">
        <f t="shared" si="5"/>
        <v>Office Supplies</v>
      </c>
      <c r="AG61" t="str">
        <f t="shared" si="6"/>
        <v>Labels</v>
      </c>
      <c r="AH61" t="str">
        <f t="shared" si="7"/>
        <v>Smart Labels 655</v>
      </c>
      <c r="AI61" t="str">
        <f t="shared" si="8"/>
        <v>Same Day</v>
      </c>
      <c r="AJ61" s="3" t="str">
        <f t="shared" si="9"/>
        <v>anomaly</v>
      </c>
      <c r="AK61">
        <f t="shared" si="10"/>
        <v>5</v>
      </c>
    </row>
    <row r="62" spans="1:37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  <c r="W62" t="s">
        <v>404</v>
      </c>
      <c r="X62" t="str">
        <v>invalid date</v>
      </c>
      <c r="Y62" t="str">
        <v>19-07-24</v>
      </c>
      <c r="Z62" t="s">
        <v>407</v>
      </c>
      <c r="AA62" t="str">
        <v>Ananya Rao</v>
      </c>
      <c r="AB62" t="str">
        <f t="shared" si="1"/>
        <v>Corporate</v>
      </c>
      <c r="AC62" t="str">
        <f t="shared" si="2"/>
        <v>East</v>
      </c>
      <c r="AD62" t="str">
        <f t="shared" si="3"/>
        <v>Assam</v>
      </c>
      <c r="AE62" t="str">
        <f t="shared" si="4"/>
        <v>Guwahati</v>
      </c>
      <c r="AF62" t="str">
        <f t="shared" si="5"/>
        <v>Office Supplies</v>
      </c>
      <c r="AG62" t="str">
        <f t="shared" si="6"/>
        <v>Labels</v>
      </c>
      <c r="AH62" t="str">
        <f t="shared" si="7"/>
        <v>Eco Labels 210</v>
      </c>
      <c r="AI62" t="str">
        <f t="shared" si="8"/>
        <v>Same Day</v>
      </c>
      <c r="AJ62" s="3" t="str">
        <f t="shared" si="9"/>
        <v>Invalid</v>
      </c>
      <c r="AK62" t="str">
        <f t="shared" si="10"/>
        <v>invalid date</v>
      </c>
    </row>
    <row r="63" spans="1:37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  <c r="W63" t="s">
        <v>409</v>
      </c>
      <c r="X63" t="str">
        <v>16-04-24</v>
      </c>
      <c r="Y63" t="str">
        <v>invalid date</v>
      </c>
      <c r="Z63" t="s">
        <v>412</v>
      </c>
      <c r="AA63" t="str">
        <v>Vikram Iyer</v>
      </c>
      <c r="AB63" t="str">
        <f t="shared" si="1"/>
        <v>Home Office</v>
      </c>
      <c r="AC63" t="str">
        <f t="shared" si="2"/>
        <v>East</v>
      </c>
      <c r="AD63" t="str">
        <f t="shared" si="3"/>
        <v>Bihar</v>
      </c>
      <c r="AE63" t="str">
        <f t="shared" si="4"/>
        <v>Patna</v>
      </c>
      <c r="AF63" t="str">
        <f t="shared" si="5"/>
        <v>Furniture</v>
      </c>
      <c r="AG63" t="str">
        <f t="shared" si="6"/>
        <v>Bookcases</v>
      </c>
      <c r="AH63" t="str">
        <f t="shared" si="7"/>
        <v>Classic Bookcases 296</v>
      </c>
      <c r="AI63" t="str">
        <f t="shared" si="8"/>
        <v>Standard Class</v>
      </c>
      <c r="AJ63" s="3" t="str">
        <f t="shared" si="9"/>
        <v>Invalid</v>
      </c>
      <c r="AK63" t="str">
        <f t="shared" si="10"/>
        <v>invalid date</v>
      </c>
    </row>
    <row r="64" spans="1:37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  <c r="W64" t="s">
        <v>414</v>
      </c>
      <c r="X64" t="str">
        <v>30-10-24</v>
      </c>
      <c r="Y64" t="str">
        <v>02-11-24</v>
      </c>
      <c r="Z64" t="s">
        <v>417</v>
      </c>
      <c r="AA64" t="str">
        <v>Sneha Kapoor</v>
      </c>
      <c r="AB64" t="str">
        <f t="shared" si="1"/>
        <v>Home Office</v>
      </c>
      <c r="AC64" t="str">
        <f t="shared" si="2"/>
        <v>North</v>
      </c>
      <c r="AD64" t="str">
        <f t="shared" si="3"/>
        <v>Rajasthan</v>
      </c>
      <c r="AE64" t="str">
        <f t="shared" si="4"/>
        <v>Jaipur</v>
      </c>
      <c r="AF64" t="str">
        <f t="shared" si="5"/>
        <v>Technology</v>
      </c>
      <c r="AG64" t="str">
        <f t="shared" si="6"/>
        <v>Phones</v>
      </c>
      <c r="AH64" t="str">
        <f t="shared" si="7"/>
        <v>Basic Phones 230</v>
      </c>
      <c r="AI64" t="str">
        <f t="shared" si="8"/>
        <v>Standard Class</v>
      </c>
      <c r="AJ64" s="3" t="str">
        <f t="shared" si="9"/>
        <v xml:space="preserve">  </v>
      </c>
      <c r="AK64">
        <f t="shared" si="10"/>
        <v>3</v>
      </c>
    </row>
    <row r="65" spans="1:37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  <c r="W65" t="s">
        <v>419</v>
      </c>
      <c r="X65" t="str">
        <v>25-01-24</v>
      </c>
      <c r="Y65" t="str">
        <v>01-02-24</v>
      </c>
      <c r="Z65" t="s">
        <v>422</v>
      </c>
      <c r="AA65" t="str">
        <v>Sneha Kapoor</v>
      </c>
      <c r="AB65" t="str">
        <f t="shared" si="1"/>
        <v>Home Office</v>
      </c>
      <c r="AC65" t="str">
        <f t="shared" si="2"/>
        <v>North</v>
      </c>
      <c r="AD65" t="str">
        <f t="shared" si="3"/>
        <v>Haryana</v>
      </c>
      <c r="AE65" t="str">
        <f t="shared" si="4"/>
        <v>Gurugram</v>
      </c>
      <c r="AF65" t="str">
        <f t="shared" si="5"/>
        <v>Office Supplies</v>
      </c>
      <c r="AG65" t="str">
        <f t="shared" si="6"/>
        <v>Binders</v>
      </c>
      <c r="AH65" t="str">
        <f t="shared" si="7"/>
        <v>Pro Binders 690</v>
      </c>
      <c r="AI65" t="str">
        <f t="shared" si="8"/>
        <v>Same Day</v>
      </c>
      <c r="AJ65" s="3" t="str">
        <f t="shared" si="9"/>
        <v xml:space="preserve">  </v>
      </c>
      <c r="AK65">
        <f t="shared" si="10"/>
        <v>7</v>
      </c>
    </row>
    <row r="66" spans="1:37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  <c r="W66" t="s">
        <v>424</v>
      </c>
      <c r="X66" t="str">
        <v>23-12-24</v>
      </c>
      <c r="Y66" t="str">
        <v>invalid date</v>
      </c>
      <c r="Z66" t="s">
        <v>427</v>
      </c>
      <c r="AA66" t="str">
        <v>Aarav Sharma</v>
      </c>
      <c r="AB66" t="str">
        <f t="shared" si="1"/>
        <v>Corporate</v>
      </c>
      <c r="AC66" t="str">
        <f t="shared" si="2"/>
        <v>East</v>
      </c>
      <c r="AD66" t="str">
        <f t="shared" si="3"/>
        <v>Jharkhand</v>
      </c>
      <c r="AE66" t="str">
        <f t="shared" si="4"/>
        <v>Ranchi</v>
      </c>
      <c r="AF66" t="str">
        <f t="shared" si="5"/>
        <v>Office Supplies</v>
      </c>
      <c r="AG66" t="str">
        <f t="shared" si="6"/>
        <v>Paper</v>
      </c>
      <c r="AH66" t="str">
        <f t="shared" si="7"/>
        <v>Classic Paper 458</v>
      </c>
      <c r="AI66" t="str">
        <f t="shared" si="8"/>
        <v>First Class</v>
      </c>
      <c r="AJ66" s="3" t="str">
        <f t="shared" si="9"/>
        <v>Invalid</v>
      </c>
      <c r="AK66" t="str">
        <f t="shared" si="10"/>
        <v>invalid date</v>
      </c>
    </row>
    <row r="67" spans="1:37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  <c r="W67" t="s">
        <v>429</v>
      </c>
      <c r="X67" t="str">
        <v>22-04-24</v>
      </c>
      <c r="Y67" t="str">
        <v>27-04-24</v>
      </c>
      <c r="Z67" t="s">
        <v>432</v>
      </c>
      <c r="AA67" t="str">
        <v>Mira Das</v>
      </c>
      <c r="AB67" t="str">
        <f t="shared" ref="AB67:AB130" si="11">TRIM(PROPER(F:F))</f>
        <v>Home Office</v>
      </c>
      <c r="AC67" t="str">
        <f t="shared" ref="AC67:AC130" si="12">TRIM(PROPER(G:G))</f>
        <v>West</v>
      </c>
      <c r="AD67" t="str">
        <f t="shared" ref="AD67:AD130" si="13">TRIM(PROPER(H:H))</f>
        <v>Maharashtra</v>
      </c>
      <c r="AE67" t="str">
        <f t="shared" ref="AE67:AE130" si="14">TRIM(PROPER(I:I))</f>
        <v>Mumbai</v>
      </c>
      <c r="AF67" t="str">
        <f t="shared" ref="AF67:AF130" si="15">TRIM(PROPER(J:J))</f>
        <v>Office Supplies</v>
      </c>
      <c r="AG67" t="str">
        <f t="shared" ref="AG67:AG130" si="16">TRIM(PROPER(K:K))</f>
        <v>Paper</v>
      </c>
      <c r="AH67" t="str">
        <f t="shared" ref="AH67:AH130" si="17">TRIM(PROPER(L:L))</f>
        <v>Pro Paper 552</v>
      </c>
      <c r="AI67" t="str">
        <f t="shared" ref="AI67:AI130" si="18">TRIM(PROPER(M:M))</f>
        <v>Second Class</v>
      </c>
      <c r="AJ67" s="3" t="str">
        <f t="shared" ref="AJ67:AJ130" si="19">IF(OR(X:X="Invalid Date",Y:Y="Invalid Date"),"Invalid",(IF(X:X&lt;Y:Y,"anomaly", "  ")))</f>
        <v>anomaly</v>
      </c>
      <c r="AK67">
        <f t="shared" ref="AK67:AK130" si="20">IFERROR(Y67-X67, "invalid date")</f>
        <v>5</v>
      </c>
    </row>
    <row r="68" spans="1:37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  <c r="W68" t="s">
        <v>434</v>
      </c>
      <c r="X68" t="str">
        <v>invalid date</v>
      </c>
      <c r="Y68" t="str">
        <v>01-09-25</v>
      </c>
      <c r="Z68" t="s">
        <v>437</v>
      </c>
      <c r="AA68" t="str">
        <v>Karan Malhotra</v>
      </c>
      <c r="AB68" t="str">
        <f t="shared" si="11"/>
        <v>Small Business</v>
      </c>
      <c r="AC68" t="str">
        <f t="shared" si="12"/>
        <v>South</v>
      </c>
      <c r="AD68" t="str">
        <f t="shared" si="13"/>
        <v>Tamil Nadu</v>
      </c>
      <c r="AE68" t="str">
        <f t="shared" si="14"/>
        <v>Chennai</v>
      </c>
      <c r="AF68" t="str">
        <f t="shared" si="15"/>
        <v>Technology</v>
      </c>
      <c r="AG68" t="str">
        <f t="shared" si="16"/>
        <v>Accessories</v>
      </c>
      <c r="AH68" t="str">
        <f t="shared" si="17"/>
        <v>Elite Accessories 187</v>
      </c>
      <c r="AI68" t="str">
        <f t="shared" si="18"/>
        <v>Same Day</v>
      </c>
      <c r="AJ68" s="3" t="str">
        <f t="shared" si="19"/>
        <v>Invalid</v>
      </c>
      <c r="AK68" t="str">
        <f t="shared" si="20"/>
        <v>invalid date</v>
      </c>
    </row>
    <row r="69" spans="1:37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  <c r="W69" t="s">
        <v>439</v>
      </c>
      <c r="X69" t="str">
        <v>03-02-25</v>
      </c>
      <c r="Y69" t="str">
        <v>07-02-25</v>
      </c>
      <c r="Z69" t="s">
        <v>442</v>
      </c>
      <c r="AA69" t="str">
        <v>Kabir Singh</v>
      </c>
      <c r="AB69" t="str">
        <f t="shared" si="11"/>
        <v>Consumer</v>
      </c>
      <c r="AC69" t="str">
        <f t="shared" si="12"/>
        <v>North</v>
      </c>
      <c r="AD69" t="str">
        <f t="shared" si="13"/>
        <v>Haryana</v>
      </c>
      <c r="AE69" t="str">
        <f t="shared" si="14"/>
        <v>Gurugram</v>
      </c>
      <c r="AF69" t="str">
        <f t="shared" si="15"/>
        <v>Office Supplies</v>
      </c>
      <c r="AG69" t="str">
        <f t="shared" si="16"/>
        <v>Paper</v>
      </c>
      <c r="AH69" t="str">
        <f t="shared" si="17"/>
        <v>Eco Paper 922</v>
      </c>
      <c r="AI69" t="str">
        <f t="shared" si="18"/>
        <v>First Class</v>
      </c>
      <c r="AJ69" s="3" t="str">
        <f t="shared" si="19"/>
        <v>anomaly</v>
      </c>
      <c r="AK69">
        <f t="shared" si="20"/>
        <v>4</v>
      </c>
    </row>
    <row r="70" spans="1:37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  <c r="W70" t="s">
        <v>444</v>
      </c>
      <c r="X70" t="str">
        <v>11-10-24</v>
      </c>
      <c r="Y70" t="str">
        <v>13-11-24</v>
      </c>
      <c r="Z70" t="s">
        <v>446</v>
      </c>
      <c r="AA70" t="str">
        <v>Isha Nair</v>
      </c>
      <c r="AB70" t="str">
        <f t="shared" si="11"/>
        <v>Corporate</v>
      </c>
      <c r="AC70" t="str">
        <f t="shared" si="12"/>
        <v>East</v>
      </c>
      <c r="AD70" t="str">
        <f t="shared" si="13"/>
        <v>Jharkhand</v>
      </c>
      <c r="AE70" t="str">
        <f t="shared" si="14"/>
        <v>Ranchi</v>
      </c>
      <c r="AF70" t="str">
        <f t="shared" si="15"/>
        <v>Office Supplies</v>
      </c>
      <c r="AG70" t="str">
        <f t="shared" si="16"/>
        <v>Storage</v>
      </c>
      <c r="AH70" t="str">
        <f t="shared" si="17"/>
        <v>Pro Storage 975</v>
      </c>
      <c r="AI70" t="str">
        <f t="shared" si="18"/>
        <v>Second Class</v>
      </c>
      <c r="AJ70" s="3" t="str">
        <f t="shared" si="19"/>
        <v>anomaly</v>
      </c>
      <c r="AK70">
        <f t="shared" si="20"/>
        <v>33</v>
      </c>
    </row>
    <row r="71" spans="1:37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  <c r="W71" t="s">
        <v>448</v>
      </c>
      <c r="X71" t="str">
        <v>09-04-24</v>
      </c>
      <c r="Y71" t="str">
        <v>invalid date</v>
      </c>
      <c r="Z71" t="s">
        <v>451</v>
      </c>
      <c r="AA71" t="str">
        <v>Neha Gupta</v>
      </c>
      <c r="AB71" t="str">
        <f t="shared" si="11"/>
        <v>Small Business</v>
      </c>
      <c r="AC71" t="str">
        <f t="shared" si="12"/>
        <v>West</v>
      </c>
      <c r="AD71" t="str">
        <f t="shared" si="13"/>
        <v>Gujarat</v>
      </c>
      <c r="AE71" t="str">
        <f t="shared" si="14"/>
        <v>Ahmedabad</v>
      </c>
      <c r="AF71" t="str">
        <f t="shared" si="15"/>
        <v>Technology</v>
      </c>
      <c r="AG71" t="str">
        <f t="shared" si="16"/>
        <v>Machines</v>
      </c>
      <c r="AH71" t="str">
        <f t="shared" si="17"/>
        <v>Prime Machines 782</v>
      </c>
      <c r="AI71" t="str">
        <f t="shared" si="18"/>
        <v>Same Day</v>
      </c>
      <c r="AJ71" s="3" t="str">
        <f t="shared" si="19"/>
        <v>Invalid</v>
      </c>
      <c r="AK71" t="str">
        <f t="shared" si="20"/>
        <v>invalid date</v>
      </c>
    </row>
    <row r="72" spans="1:37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  <c r="W72" t="s">
        <v>453</v>
      </c>
      <c r="X72" t="str">
        <v>22-08-25</v>
      </c>
      <c r="Y72" t="str">
        <v>27-08-25</v>
      </c>
      <c r="Z72" t="s">
        <v>456</v>
      </c>
      <c r="AA72" t="str">
        <v>Karan Malhotra</v>
      </c>
      <c r="AB72" t="str">
        <f t="shared" si="11"/>
        <v>Corporate</v>
      </c>
      <c r="AC72" t="str">
        <f t="shared" si="12"/>
        <v>South</v>
      </c>
      <c r="AD72" t="str">
        <f t="shared" si="13"/>
        <v>Andhra Pradesh</v>
      </c>
      <c r="AE72" t="str">
        <f t="shared" si="14"/>
        <v>Vijayawada</v>
      </c>
      <c r="AF72" t="str">
        <f t="shared" si="15"/>
        <v>Technology</v>
      </c>
      <c r="AG72" t="str">
        <f t="shared" si="16"/>
        <v>Phones</v>
      </c>
      <c r="AH72" t="str">
        <f t="shared" si="17"/>
        <v>Max Phones 661</v>
      </c>
      <c r="AI72" t="str">
        <f t="shared" si="18"/>
        <v>First Class</v>
      </c>
      <c r="AJ72" s="3" t="str">
        <f t="shared" si="19"/>
        <v>anomaly</v>
      </c>
      <c r="AK72">
        <f t="shared" si="20"/>
        <v>5</v>
      </c>
    </row>
    <row r="73" spans="1:37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  <c r="W73" t="s">
        <v>458</v>
      </c>
      <c r="X73" t="str">
        <v>invalid date</v>
      </c>
      <c r="Y73" t="str">
        <v>23-04-25</v>
      </c>
      <c r="Z73" t="s">
        <v>460</v>
      </c>
      <c r="AA73" t="str">
        <v>Mira Das</v>
      </c>
      <c r="AB73" t="str">
        <f t="shared" si="11"/>
        <v>Small Business</v>
      </c>
      <c r="AC73" t="str">
        <f t="shared" si="12"/>
        <v>West</v>
      </c>
      <c r="AD73" t="str">
        <f t="shared" si="13"/>
        <v>Goa</v>
      </c>
      <c r="AE73" t="str">
        <f t="shared" si="14"/>
        <v>Panaji</v>
      </c>
      <c r="AF73" t="str">
        <f t="shared" si="15"/>
        <v>Technology</v>
      </c>
      <c r="AG73" t="str">
        <f t="shared" si="16"/>
        <v>Machines</v>
      </c>
      <c r="AH73" t="str">
        <f t="shared" si="17"/>
        <v>Elite Machines 836</v>
      </c>
      <c r="AI73" t="str">
        <f t="shared" si="18"/>
        <v>Standard Class</v>
      </c>
      <c r="AJ73" s="3" t="str">
        <f t="shared" si="19"/>
        <v>Invalid</v>
      </c>
      <c r="AK73" t="str">
        <f t="shared" si="20"/>
        <v>invalid date</v>
      </c>
    </row>
    <row r="74" spans="1:37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  <c r="W74" t="s">
        <v>462</v>
      </c>
      <c r="X74" t="str">
        <v>11-02-24</v>
      </c>
      <c r="Y74" t="str">
        <v>07-02-24</v>
      </c>
      <c r="Z74" t="s">
        <v>465</v>
      </c>
      <c r="AA74" t="str">
        <v>Karan Malhotra</v>
      </c>
      <c r="AB74" t="str">
        <f t="shared" si="11"/>
        <v>Home Office</v>
      </c>
      <c r="AC74" t="str">
        <f t="shared" si="12"/>
        <v>South</v>
      </c>
      <c r="AD74" t="str">
        <f t="shared" si="13"/>
        <v>Tamil Nadu</v>
      </c>
      <c r="AE74" t="str">
        <f t="shared" si="14"/>
        <v>Chennai</v>
      </c>
      <c r="AF74" t="str">
        <f t="shared" si="15"/>
        <v>Furniture</v>
      </c>
      <c r="AG74" t="str">
        <f t="shared" si="16"/>
        <v>Tables</v>
      </c>
      <c r="AH74" t="str">
        <f t="shared" si="17"/>
        <v>Prime Tables 902</v>
      </c>
      <c r="AI74" t="str">
        <f t="shared" si="18"/>
        <v>First Class</v>
      </c>
      <c r="AJ74" s="3" t="str">
        <f t="shared" si="19"/>
        <v xml:space="preserve">  </v>
      </c>
      <c r="AK74">
        <f t="shared" si="20"/>
        <v>-4</v>
      </c>
    </row>
    <row r="75" spans="1:37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  <c r="W75" t="s">
        <v>467</v>
      </c>
      <c r="X75" t="str">
        <v>29-03-25</v>
      </c>
      <c r="Y75" t="str">
        <v>04-03-25</v>
      </c>
      <c r="Z75" t="s">
        <v>470</v>
      </c>
      <c r="AA75" t="str">
        <v>Sneha Kapoor</v>
      </c>
      <c r="AB75" t="str">
        <f t="shared" si="11"/>
        <v>Corporate</v>
      </c>
      <c r="AC75" t="str">
        <f t="shared" si="12"/>
        <v>East</v>
      </c>
      <c r="AD75" t="str">
        <f t="shared" si="13"/>
        <v>West Bengal</v>
      </c>
      <c r="AE75" t="str">
        <f t="shared" si="14"/>
        <v>Kolkata</v>
      </c>
      <c r="AF75" t="str">
        <f t="shared" si="15"/>
        <v>Furniture</v>
      </c>
      <c r="AG75" t="str">
        <f t="shared" si="16"/>
        <v>Bookcases</v>
      </c>
      <c r="AH75" t="str">
        <f t="shared" si="17"/>
        <v>Smart Bookcases 167</v>
      </c>
      <c r="AI75" t="str">
        <f t="shared" si="18"/>
        <v>First Class</v>
      </c>
      <c r="AJ75" s="3" t="str">
        <f t="shared" si="19"/>
        <v xml:space="preserve">  </v>
      </c>
      <c r="AK75">
        <f t="shared" si="20"/>
        <v>-25</v>
      </c>
    </row>
    <row r="76" spans="1:37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  <c r="W76" t="s">
        <v>472</v>
      </c>
      <c r="X76" t="str">
        <v>invalid date</v>
      </c>
      <c r="Y76" t="str">
        <v>01-03-25</v>
      </c>
      <c r="Z76" t="s">
        <v>475</v>
      </c>
      <c r="AA76" t="str">
        <v>Vikram Iyer</v>
      </c>
      <c r="AB76" t="str">
        <f t="shared" si="11"/>
        <v>Small Business</v>
      </c>
      <c r="AC76" t="str">
        <f t="shared" si="12"/>
        <v>East</v>
      </c>
      <c r="AD76" t="str">
        <f t="shared" si="13"/>
        <v>West Bengal</v>
      </c>
      <c r="AE76" t="str">
        <f t="shared" si="14"/>
        <v>Kolkata</v>
      </c>
      <c r="AF76" t="str">
        <f t="shared" si="15"/>
        <v>Furniture</v>
      </c>
      <c r="AG76" t="str">
        <f t="shared" si="16"/>
        <v>Chairs</v>
      </c>
      <c r="AH76" t="str">
        <f t="shared" si="17"/>
        <v>Max Chairs 244</v>
      </c>
      <c r="AI76" t="str">
        <f t="shared" si="18"/>
        <v>Standard Class</v>
      </c>
      <c r="AJ76" s="3" t="str">
        <f t="shared" si="19"/>
        <v>Invalid</v>
      </c>
      <c r="AK76" t="str">
        <f t="shared" si="20"/>
        <v>invalid date</v>
      </c>
    </row>
    <row r="77" spans="1:37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  <c r="W77" t="s">
        <v>477</v>
      </c>
      <c r="X77" t="str">
        <v>22-08-25</v>
      </c>
      <c r="Y77" t="str">
        <v>invalid date</v>
      </c>
      <c r="Z77" t="s">
        <v>480</v>
      </c>
      <c r="AA77" t="str">
        <v>Priya Menon</v>
      </c>
      <c r="AB77" t="str">
        <f t="shared" si="11"/>
        <v>Small Business</v>
      </c>
      <c r="AC77" t="str">
        <f t="shared" si="12"/>
        <v>East</v>
      </c>
      <c r="AD77" t="str">
        <f t="shared" si="13"/>
        <v>Odisha</v>
      </c>
      <c r="AE77" t="str">
        <f t="shared" si="14"/>
        <v>Bhubaneswar</v>
      </c>
      <c r="AF77" t="str">
        <f t="shared" si="15"/>
        <v>Office Supplies</v>
      </c>
      <c r="AG77" t="str">
        <f t="shared" si="16"/>
        <v>Labels</v>
      </c>
      <c r="AH77" t="str">
        <f t="shared" si="17"/>
        <v>Eco Labels 653</v>
      </c>
      <c r="AI77" t="str">
        <f t="shared" si="18"/>
        <v>First Class</v>
      </c>
      <c r="AJ77" s="3" t="str">
        <f t="shared" si="19"/>
        <v>Invalid</v>
      </c>
      <c r="AK77" t="str">
        <f t="shared" si="20"/>
        <v>invalid date</v>
      </c>
    </row>
    <row r="78" spans="1:37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  <c r="W78" t="s">
        <v>482</v>
      </c>
      <c r="X78" t="str">
        <v>03-11-24</v>
      </c>
      <c r="Y78" t="str">
        <v>11-11-24</v>
      </c>
      <c r="Z78" t="s">
        <v>485</v>
      </c>
      <c r="AA78" t="str">
        <v>Ananya Rao</v>
      </c>
      <c r="AB78" t="str">
        <f t="shared" si="11"/>
        <v>Corporate</v>
      </c>
      <c r="AC78" t="str">
        <f t="shared" si="12"/>
        <v>East</v>
      </c>
      <c r="AD78" t="str">
        <f t="shared" si="13"/>
        <v>Jharkhand</v>
      </c>
      <c r="AE78" t="str">
        <f t="shared" si="14"/>
        <v>Ranchi</v>
      </c>
      <c r="AF78" t="str">
        <f t="shared" si="15"/>
        <v>Office Supplies</v>
      </c>
      <c r="AG78" t="str">
        <f t="shared" si="16"/>
        <v>Labels</v>
      </c>
      <c r="AH78" t="str">
        <f t="shared" si="17"/>
        <v>Max Labels 617</v>
      </c>
      <c r="AI78" t="str">
        <f t="shared" si="18"/>
        <v>Second Class</v>
      </c>
      <c r="AJ78" s="3" t="str">
        <f t="shared" si="19"/>
        <v>anomaly</v>
      </c>
      <c r="AK78">
        <f t="shared" si="20"/>
        <v>8</v>
      </c>
    </row>
    <row r="79" spans="1:37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  <c r="W79" t="s">
        <v>487</v>
      </c>
      <c r="X79" t="str">
        <v>07-08-25</v>
      </c>
      <c r="Y79" t="str">
        <v>12-07-25</v>
      </c>
      <c r="Z79" t="s">
        <v>490</v>
      </c>
      <c r="AA79" t="str">
        <v>Rohan Mehta</v>
      </c>
      <c r="AB79" t="str">
        <f t="shared" si="11"/>
        <v>Home Office</v>
      </c>
      <c r="AC79" t="str">
        <f t="shared" si="12"/>
        <v>North</v>
      </c>
      <c r="AD79" t="str">
        <f t="shared" si="13"/>
        <v>Uttar Pradesh</v>
      </c>
      <c r="AE79" t="str">
        <f t="shared" si="14"/>
        <v>Noida</v>
      </c>
      <c r="AF79" t="str">
        <f t="shared" si="15"/>
        <v>Furniture</v>
      </c>
      <c r="AG79" t="str">
        <f t="shared" si="16"/>
        <v>Furnishings</v>
      </c>
      <c r="AH79" t="str">
        <f t="shared" si="17"/>
        <v>Pro Furnishings 529</v>
      </c>
      <c r="AI79" t="str">
        <f t="shared" si="18"/>
        <v>Standard Class</v>
      </c>
      <c r="AJ79" s="3" t="str">
        <f t="shared" si="19"/>
        <v>anomaly</v>
      </c>
      <c r="AK79">
        <f t="shared" si="20"/>
        <v>-26</v>
      </c>
    </row>
    <row r="80" spans="1:37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  <c r="W80" t="s">
        <v>492</v>
      </c>
      <c r="X80" t="str">
        <v>invalid date</v>
      </c>
      <c r="Y80" t="str">
        <v>21-07-25</v>
      </c>
      <c r="Z80" t="s">
        <v>495</v>
      </c>
      <c r="AA80" t="str">
        <v>Sneha Kapoor</v>
      </c>
      <c r="AB80" t="str">
        <f t="shared" si="11"/>
        <v>Corporate</v>
      </c>
      <c r="AC80" t="str">
        <f t="shared" si="12"/>
        <v>East</v>
      </c>
      <c r="AD80" t="str">
        <f t="shared" si="13"/>
        <v>West Bengal</v>
      </c>
      <c r="AE80" t="str">
        <f t="shared" si="14"/>
        <v>Kolkata</v>
      </c>
      <c r="AF80" t="str">
        <f t="shared" si="15"/>
        <v>Furniture</v>
      </c>
      <c r="AG80" t="str">
        <f t="shared" si="16"/>
        <v>Tables</v>
      </c>
      <c r="AH80" t="str">
        <f t="shared" si="17"/>
        <v>Smart Tables 561</v>
      </c>
      <c r="AI80" t="str">
        <f t="shared" si="18"/>
        <v>First Class</v>
      </c>
      <c r="AJ80" s="3" t="str">
        <f t="shared" si="19"/>
        <v>Invalid</v>
      </c>
      <c r="AK80" t="str">
        <f t="shared" si="20"/>
        <v>invalid date</v>
      </c>
    </row>
    <row r="81" spans="1:37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  <c r="W81" t="s">
        <v>497</v>
      </c>
      <c r="X81" t="str">
        <v>27-09-25</v>
      </c>
      <c r="Y81" t="str">
        <v>03-10-25</v>
      </c>
      <c r="Z81" t="s">
        <v>500</v>
      </c>
      <c r="AA81" t="str">
        <v>Diya Patel</v>
      </c>
      <c r="AB81" t="str">
        <f t="shared" si="11"/>
        <v>Home Office</v>
      </c>
      <c r="AC81" t="str">
        <f t="shared" si="12"/>
        <v>South</v>
      </c>
      <c r="AD81" t="str">
        <f t="shared" si="13"/>
        <v>Tamil Nadu</v>
      </c>
      <c r="AE81" t="str">
        <f t="shared" si="14"/>
        <v>Chennai</v>
      </c>
      <c r="AF81" t="str">
        <f t="shared" si="15"/>
        <v>Furniture</v>
      </c>
      <c r="AG81" t="str">
        <f t="shared" si="16"/>
        <v>Chairs</v>
      </c>
      <c r="AH81" t="str">
        <f t="shared" si="17"/>
        <v>Prime Chairs 838</v>
      </c>
      <c r="AI81" t="str">
        <f t="shared" si="18"/>
        <v>Same Day</v>
      </c>
      <c r="AJ81" s="3" t="str">
        <f t="shared" si="19"/>
        <v xml:space="preserve">  </v>
      </c>
      <c r="AK81">
        <f t="shared" si="20"/>
        <v>6</v>
      </c>
    </row>
    <row r="82" spans="1:37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  <c r="W82" t="s">
        <v>502</v>
      </c>
      <c r="X82" t="str">
        <v>10-08-24</v>
      </c>
      <c r="Y82" t="str">
        <v>14-08-24</v>
      </c>
      <c r="Z82" t="s">
        <v>505</v>
      </c>
      <c r="AA82" t="str">
        <v>Aarav Sharma</v>
      </c>
      <c r="AB82" t="str">
        <f t="shared" si="11"/>
        <v>Small Business</v>
      </c>
      <c r="AC82" t="str">
        <f t="shared" si="12"/>
        <v>North</v>
      </c>
      <c r="AD82" t="str">
        <f t="shared" si="13"/>
        <v>Delhi</v>
      </c>
      <c r="AE82" t="str">
        <f t="shared" si="14"/>
        <v>New Delhi</v>
      </c>
      <c r="AF82" t="str">
        <f t="shared" si="15"/>
        <v>Office Supplies</v>
      </c>
      <c r="AG82" t="str">
        <f t="shared" si="16"/>
        <v>Storage</v>
      </c>
      <c r="AH82" t="str">
        <f t="shared" si="17"/>
        <v>Elite Storage 371</v>
      </c>
      <c r="AI82" t="str">
        <f t="shared" si="18"/>
        <v>Second Class</v>
      </c>
      <c r="AJ82" s="3" t="str">
        <f t="shared" si="19"/>
        <v>anomaly</v>
      </c>
      <c r="AK82">
        <f t="shared" si="20"/>
        <v>4</v>
      </c>
    </row>
    <row r="83" spans="1:37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  <c r="W83" t="s">
        <v>509</v>
      </c>
      <c r="X83" t="str">
        <v>16-03-25</v>
      </c>
      <c r="Y83" t="str">
        <v>17-03-25</v>
      </c>
      <c r="Z83" t="s">
        <v>512</v>
      </c>
      <c r="AA83" t="str">
        <v>Karan Malhotra</v>
      </c>
      <c r="AB83" t="str">
        <f t="shared" si="11"/>
        <v>Home Office</v>
      </c>
      <c r="AC83" t="str">
        <f t="shared" si="12"/>
        <v>West</v>
      </c>
      <c r="AD83" t="str">
        <f t="shared" si="13"/>
        <v>Goa</v>
      </c>
      <c r="AE83" t="str">
        <f t="shared" si="14"/>
        <v>Panaji</v>
      </c>
      <c r="AF83" t="str">
        <f t="shared" si="15"/>
        <v>Office Supplies</v>
      </c>
      <c r="AG83" t="str">
        <f t="shared" si="16"/>
        <v>Labels</v>
      </c>
      <c r="AH83" t="str">
        <f t="shared" si="17"/>
        <v>Eco Labels 662</v>
      </c>
      <c r="AI83" t="str">
        <f t="shared" si="18"/>
        <v>Same Day</v>
      </c>
      <c r="AJ83" s="3" t="str">
        <f t="shared" si="19"/>
        <v>anomaly</v>
      </c>
      <c r="AK83">
        <f t="shared" si="20"/>
        <v>1</v>
      </c>
    </row>
    <row r="84" spans="1:37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  <c r="W84" t="s">
        <v>514</v>
      </c>
      <c r="X84" t="str">
        <v>03-08-24</v>
      </c>
      <c r="Y84" t="str">
        <v>04-08-24</v>
      </c>
      <c r="Z84" t="s">
        <v>517</v>
      </c>
      <c r="AA84" t="str">
        <v>Arjun Bose</v>
      </c>
      <c r="AB84" t="str">
        <f t="shared" si="11"/>
        <v>Consumer</v>
      </c>
      <c r="AC84" t="str">
        <f t="shared" si="12"/>
        <v>North</v>
      </c>
      <c r="AD84" t="str">
        <f t="shared" si="13"/>
        <v>Uttar Pradesh</v>
      </c>
      <c r="AE84" t="str">
        <f t="shared" si="14"/>
        <v>Noida</v>
      </c>
      <c r="AF84" t="str">
        <f t="shared" si="15"/>
        <v>Technology</v>
      </c>
      <c r="AG84" t="str">
        <f t="shared" si="16"/>
        <v>Copiers</v>
      </c>
      <c r="AH84" t="str">
        <f t="shared" si="17"/>
        <v>Smart Copiers 702</v>
      </c>
      <c r="AI84" t="str">
        <f t="shared" si="18"/>
        <v>Second Class</v>
      </c>
      <c r="AJ84" s="3" t="str">
        <f t="shared" si="19"/>
        <v>anomaly</v>
      </c>
      <c r="AK84">
        <f t="shared" si="20"/>
        <v>1</v>
      </c>
    </row>
    <row r="85" spans="1:37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  <c r="W85" t="s">
        <v>519</v>
      </c>
      <c r="X85" t="str">
        <v>26-10-24</v>
      </c>
      <c r="Y85" t="str">
        <v>29-10-24</v>
      </c>
      <c r="Z85" t="s">
        <v>521</v>
      </c>
      <c r="AA85" t="str">
        <v>Aditi Sen</v>
      </c>
      <c r="AB85" t="str">
        <f t="shared" si="11"/>
        <v>Home Office</v>
      </c>
      <c r="AC85" t="str">
        <f t="shared" si="12"/>
        <v>West</v>
      </c>
      <c r="AD85" t="str">
        <f t="shared" si="13"/>
        <v>Maharashtra</v>
      </c>
      <c r="AE85" t="str">
        <f t="shared" si="14"/>
        <v>Mumbai</v>
      </c>
      <c r="AF85" t="str">
        <f t="shared" si="15"/>
        <v>Furniture</v>
      </c>
      <c r="AG85" t="str">
        <f t="shared" si="16"/>
        <v>Tables</v>
      </c>
      <c r="AH85" t="str">
        <f t="shared" si="17"/>
        <v>Elite Tables 362</v>
      </c>
      <c r="AI85" t="str">
        <f t="shared" si="18"/>
        <v>Second Class</v>
      </c>
      <c r="AJ85" s="3" t="str">
        <f t="shared" si="19"/>
        <v>anomaly</v>
      </c>
      <c r="AK85">
        <f t="shared" si="20"/>
        <v>3</v>
      </c>
    </row>
    <row r="86" spans="1:37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  <c r="W86" t="s">
        <v>523</v>
      </c>
      <c r="X86" t="str">
        <v>01-10-24</v>
      </c>
      <c r="Y86" t="str">
        <v>03-10-24</v>
      </c>
      <c r="Z86" t="s">
        <v>526</v>
      </c>
      <c r="AA86" t="str">
        <v>Rohan Mehta</v>
      </c>
      <c r="AB86" t="str">
        <f t="shared" si="11"/>
        <v>Corporate</v>
      </c>
      <c r="AC86" t="str">
        <f t="shared" si="12"/>
        <v>South</v>
      </c>
      <c r="AD86" t="str">
        <f t="shared" si="13"/>
        <v>Tamil Nadu</v>
      </c>
      <c r="AE86" t="str">
        <f t="shared" si="14"/>
        <v>Chennai</v>
      </c>
      <c r="AF86" t="str">
        <f t="shared" si="15"/>
        <v>Technology</v>
      </c>
      <c r="AG86" t="str">
        <f t="shared" si="16"/>
        <v>Phones</v>
      </c>
      <c r="AH86" t="str">
        <f t="shared" si="17"/>
        <v>Elite Phones 781</v>
      </c>
      <c r="AI86" t="str">
        <f t="shared" si="18"/>
        <v>Second Class</v>
      </c>
      <c r="AJ86" s="3" t="str">
        <f t="shared" si="19"/>
        <v>anomaly</v>
      </c>
      <c r="AK86">
        <f t="shared" si="20"/>
        <v>2</v>
      </c>
    </row>
    <row r="87" spans="1:37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  <c r="W87" t="s">
        <v>528</v>
      </c>
      <c r="X87" t="str">
        <v>30-07-24</v>
      </c>
      <c r="Y87" t="str">
        <v>08-05-24</v>
      </c>
      <c r="Z87" t="s">
        <v>531</v>
      </c>
      <c r="AA87" t="str">
        <v>Kabir Singh</v>
      </c>
      <c r="AB87" t="str">
        <f t="shared" si="11"/>
        <v>Corporate</v>
      </c>
      <c r="AC87" t="str">
        <f t="shared" si="12"/>
        <v>North</v>
      </c>
      <c r="AD87" t="str">
        <f t="shared" si="13"/>
        <v>Delhi</v>
      </c>
      <c r="AE87" t="str">
        <f t="shared" si="14"/>
        <v>New Delhi</v>
      </c>
      <c r="AF87" t="str">
        <f t="shared" si="15"/>
        <v>Office Supplies</v>
      </c>
      <c r="AG87" t="str">
        <f t="shared" si="16"/>
        <v>Binders</v>
      </c>
      <c r="AH87" t="str">
        <f t="shared" si="17"/>
        <v>Eco Binders 456</v>
      </c>
      <c r="AI87" t="str">
        <f t="shared" si="18"/>
        <v>Standard Class</v>
      </c>
      <c r="AJ87" s="3" t="str">
        <f t="shared" si="19"/>
        <v xml:space="preserve">  </v>
      </c>
      <c r="AK87">
        <f t="shared" si="20"/>
        <v>-83</v>
      </c>
    </row>
    <row r="88" spans="1:37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  <c r="W88" t="s">
        <v>533</v>
      </c>
      <c r="X88" t="str">
        <v>01-07-24</v>
      </c>
      <c r="Y88" t="str">
        <v>01-07-24</v>
      </c>
      <c r="Z88" t="s">
        <v>535</v>
      </c>
      <c r="AA88" t="str">
        <v>Ananya Rao</v>
      </c>
      <c r="AB88" t="str">
        <f t="shared" si="11"/>
        <v>Small Business</v>
      </c>
      <c r="AC88" t="str">
        <f t="shared" si="12"/>
        <v>North</v>
      </c>
      <c r="AD88" t="str">
        <f t="shared" si="13"/>
        <v>Delhi</v>
      </c>
      <c r="AE88" t="str">
        <f t="shared" si="14"/>
        <v>New Delhi</v>
      </c>
      <c r="AF88" t="str">
        <f t="shared" si="15"/>
        <v>Technology</v>
      </c>
      <c r="AG88" t="str">
        <f t="shared" si="16"/>
        <v>Copiers</v>
      </c>
      <c r="AH88" t="str">
        <f t="shared" si="17"/>
        <v>Basic Copiers 525</v>
      </c>
      <c r="AI88" t="str">
        <f t="shared" si="18"/>
        <v>Second Class</v>
      </c>
      <c r="AJ88" s="3" t="str">
        <f t="shared" si="19"/>
        <v xml:space="preserve">  </v>
      </c>
      <c r="AK88">
        <f t="shared" si="20"/>
        <v>0</v>
      </c>
    </row>
    <row r="89" spans="1:37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  <c r="W89" t="s">
        <v>537</v>
      </c>
      <c r="X89" t="str">
        <v>02-08-24</v>
      </c>
      <c r="Y89" t="str">
        <v>03-08-24</v>
      </c>
      <c r="Z89" t="s">
        <v>539</v>
      </c>
      <c r="AA89" t="str">
        <v>Vikram Iyer</v>
      </c>
      <c r="AB89" t="str">
        <f t="shared" si="11"/>
        <v>Consumer</v>
      </c>
      <c r="AC89" t="str">
        <f t="shared" si="12"/>
        <v>East</v>
      </c>
      <c r="AD89" t="str">
        <f t="shared" si="13"/>
        <v>Assam</v>
      </c>
      <c r="AE89" t="str">
        <f t="shared" si="14"/>
        <v>Guwahati</v>
      </c>
      <c r="AF89" t="str">
        <f t="shared" si="15"/>
        <v>Office Supplies</v>
      </c>
      <c r="AG89" t="str">
        <f t="shared" si="16"/>
        <v>Binders</v>
      </c>
      <c r="AH89" t="str">
        <f t="shared" si="17"/>
        <v>Eco Binders 258</v>
      </c>
      <c r="AI89" t="str">
        <f t="shared" si="18"/>
        <v>Standard Class</v>
      </c>
      <c r="AJ89" s="3" t="str">
        <f t="shared" si="19"/>
        <v>anomaly</v>
      </c>
      <c r="AK89">
        <f t="shared" si="20"/>
        <v>1</v>
      </c>
    </row>
    <row r="90" spans="1:37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  <c r="W90" t="s">
        <v>541</v>
      </c>
      <c r="X90" t="str">
        <v>invalid date</v>
      </c>
      <c r="Y90" t="str">
        <v>27-03-24</v>
      </c>
      <c r="Z90" t="s">
        <v>544</v>
      </c>
      <c r="AA90" t="str">
        <v>Rohan Mehta</v>
      </c>
      <c r="AB90" t="str">
        <f t="shared" si="11"/>
        <v>Small Business</v>
      </c>
      <c r="AC90" t="str">
        <f t="shared" si="12"/>
        <v>West</v>
      </c>
      <c r="AD90" t="str">
        <f t="shared" si="13"/>
        <v>Maharashtra</v>
      </c>
      <c r="AE90" t="str">
        <f t="shared" si="14"/>
        <v>Mumbai</v>
      </c>
      <c r="AF90" t="str">
        <f t="shared" si="15"/>
        <v>Furniture</v>
      </c>
      <c r="AG90" t="str">
        <f t="shared" si="16"/>
        <v>Bookcases</v>
      </c>
      <c r="AH90" t="str">
        <f t="shared" si="17"/>
        <v>Max Bookcases 398</v>
      </c>
      <c r="AI90" t="str">
        <f t="shared" si="18"/>
        <v>Standard Class</v>
      </c>
      <c r="AJ90" s="3" t="str">
        <f t="shared" si="19"/>
        <v>Invalid</v>
      </c>
      <c r="AK90" t="str">
        <f t="shared" si="20"/>
        <v>invalid date</v>
      </c>
    </row>
    <row r="91" spans="1:37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  <c r="W91" t="s">
        <v>546</v>
      </c>
      <c r="X91" t="str">
        <v>05-09-24</v>
      </c>
      <c r="Y91" t="str">
        <v>05-09-24</v>
      </c>
      <c r="Z91" t="s">
        <v>547</v>
      </c>
      <c r="AA91" t="str">
        <v>Kabir Singh</v>
      </c>
      <c r="AB91" t="str">
        <f t="shared" si="11"/>
        <v>Consumer</v>
      </c>
      <c r="AC91" t="str">
        <f t="shared" si="12"/>
        <v>South</v>
      </c>
      <c r="AD91" t="str">
        <f t="shared" si="13"/>
        <v>Andhra Pradesh</v>
      </c>
      <c r="AE91" t="str">
        <f t="shared" si="14"/>
        <v>Vijayawada</v>
      </c>
      <c r="AF91" t="str">
        <f t="shared" si="15"/>
        <v>Furniture</v>
      </c>
      <c r="AG91" t="str">
        <f t="shared" si="16"/>
        <v>Bookcases</v>
      </c>
      <c r="AH91" t="str">
        <f t="shared" si="17"/>
        <v>Smart Bookcases 857</v>
      </c>
      <c r="AI91" t="str">
        <f t="shared" si="18"/>
        <v>Standard Class</v>
      </c>
      <c r="AJ91" s="3" t="str">
        <f t="shared" si="19"/>
        <v xml:space="preserve">  </v>
      </c>
      <c r="AK91">
        <f t="shared" si="20"/>
        <v>0</v>
      </c>
    </row>
    <row r="92" spans="1:37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  <c r="W92" t="s">
        <v>549</v>
      </c>
      <c r="X92" t="str">
        <v>invalid date</v>
      </c>
      <c r="Y92" t="str">
        <v>29-08-25</v>
      </c>
      <c r="Z92" t="s">
        <v>551</v>
      </c>
      <c r="AA92" t="str">
        <v>Aarav Sharma</v>
      </c>
      <c r="AB92" t="str">
        <f t="shared" si="11"/>
        <v>Small Business</v>
      </c>
      <c r="AC92" t="str">
        <f t="shared" si="12"/>
        <v>East</v>
      </c>
      <c r="AD92" t="str">
        <f t="shared" si="13"/>
        <v>Bihar</v>
      </c>
      <c r="AE92" t="str">
        <f t="shared" si="14"/>
        <v>Patna</v>
      </c>
      <c r="AF92" t="str">
        <f t="shared" si="15"/>
        <v>Technology</v>
      </c>
      <c r="AG92" t="str">
        <f t="shared" si="16"/>
        <v>Copiers</v>
      </c>
      <c r="AH92" t="str">
        <f t="shared" si="17"/>
        <v>Smart Copiers 556</v>
      </c>
      <c r="AI92" t="str">
        <f t="shared" si="18"/>
        <v>First Class</v>
      </c>
      <c r="AJ92" s="3" t="str">
        <f t="shared" si="19"/>
        <v>Invalid</v>
      </c>
      <c r="AK92" t="str">
        <f t="shared" si="20"/>
        <v>invalid date</v>
      </c>
    </row>
    <row r="93" spans="1:37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  <c r="W93" t="s">
        <v>553</v>
      </c>
      <c r="X93" t="str">
        <v>02-03-25</v>
      </c>
      <c r="Y93" t="str">
        <v>03-08-25</v>
      </c>
      <c r="Z93" t="s">
        <v>556</v>
      </c>
      <c r="AA93" t="str">
        <v>Sneha Kapoor</v>
      </c>
      <c r="AB93" t="str">
        <f t="shared" si="11"/>
        <v>Corporate</v>
      </c>
      <c r="AC93" t="str">
        <f t="shared" si="12"/>
        <v>West</v>
      </c>
      <c r="AD93" t="str">
        <f t="shared" si="13"/>
        <v>Madhya Pradesh</v>
      </c>
      <c r="AE93" t="str">
        <f t="shared" si="14"/>
        <v>Indore</v>
      </c>
      <c r="AF93" t="str">
        <f t="shared" si="15"/>
        <v>Technology</v>
      </c>
      <c r="AG93" t="str">
        <f t="shared" si="16"/>
        <v>Copiers</v>
      </c>
      <c r="AH93" t="str">
        <f t="shared" si="17"/>
        <v>Prime Copiers 575</v>
      </c>
      <c r="AI93" t="str">
        <f t="shared" si="18"/>
        <v>Second Class</v>
      </c>
      <c r="AJ93" s="3" t="str">
        <f t="shared" si="19"/>
        <v>anomaly</v>
      </c>
      <c r="AK93">
        <f t="shared" si="20"/>
        <v>154</v>
      </c>
    </row>
    <row r="94" spans="1:37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  <c r="W94" t="s">
        <v>558</v>
      </c>
      <c r="X94" t="str">
        <v>23-01-25</v>
      </c>
      <c r="Y94" t="str">
        <v>invalid date</v>
      </c>
      <c r="Z94" t="s">
        <v>560</v>
      </c>
      <c r="AA94" t="str">
        <v>Aarav Sharma</v>
      </c>
      <c r="AB94" t="str">
        <f t="shared" si="11"/>
        <v>Consumer</v>
      </c>
      <c r="AC94" t="str">
        <f t="shared" si="12"/>
        <v>West</v>
      </c>
      <c r="AD94" t="str">
        <f t="shared" si="13"/>
        <v>Madhya Pradesh</v>
      </c>
      <c r="AE94" t="str">
        <f t="shared" si="14"/>
        <v>Indore</v>
      </c>
      <c r="AF94" t="str">
        <f t="shared" si="15"/>
        <v>Office Supplies</v>
      </c>
      <c r="AG94" t="str">
        <f t="shared" si="16"/>
        <v>Paper</v>
      </c>
      <c r="AH94" t="str">
        <f t="shared" si="17"/>
        <v>Elite Paper 669</v>
      </c>
      <c r="AI94" t="str">
        <f t="shared" si="18"/>
        <v>Standard Class</v>
      </c>
      <c r="AJ94" s="3" t="str">
        <f t="shared" si="19"/>
        <v>Invalid</v>
      </c>
      <c r="AK94" t="str">
        <f t="shared" si="20"/>
        <v>invalid date</v>
      </c>
    </row>
    <row r="95" spans="1:37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 s="5" t="s">
        <v>4117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  <c r="W95" t="s">
        <v>562</v>
      </c>
      <c r="X95" t="str">
        <v>01-07-24</v>
      </c>
      <c r="Y95" t="str">
        <v>13-01-24</v>
      </c>
      <c r="Z95" t="s">
        <v>564</v>
      </c>
      <c r="AA95" t="str">
        <v>Rohan Mehta</v>
      </c>
      <c r="AB95" t="str">
        <f t="shared" si="11"/>
        <v>Corporate</v>
      </c>
      <c r="AC95" t="str">
        <f t="shared" si="12"/>
        <v>North</v>
      </c>
      <c r="AD95" t="str">
        <f t="shared" si="13"/>
        <v>Uttar Pradesh</v>
      </c>
      <c r="AE95" t="str">
        <f t="shared" si="14"/>
        <v>Noida</v>
      </c>
      <c r="AF95" t="str">
        <f t="shared" si="15"/>
        <v>Office Supplies</v>
      </c>
      <c r="AG95" t="str">
        <f t="shared" si="16"/>
        <v>Binders</v>
      </c>
      <c r="AH95" t="str">
        <f t="shared" si="17"/>
        <v>Eco Binders 780</v>
      </c>
      <c r="AI95" t="str">
        <f t="shared" si="18"/>
        <v>Standard Class</v>
      </c>
      <c r="AJ95" s="3" t="str">
        <f t="shared" si="19"/>
        <v>anomaly</v>
      </c>
      <c r="AK95">
        <f t="shared" si="20"/>
        <v>-170</v>
      </c>
    </row>
    <row r="96" spans="1:37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  <c r="W96" t="s">
        <v>566</v>
      </c>
      <c r="X96" t="str">
        <v>09-06-24</v>
      </c>
      <c r="Y96" t="str">
        <v>09-09-24</v>
      </c>
      <c r="Z96" t="s">
        <v>569</v>
      </c>
      <c r="AA96" t="str">
        <v>Diya Patel</v>
      </c>
      <c r="AB96" t="str">
        <f t="shared" si="11"/>
        <v>Consumer</v>
      </c>
      <c r="AC96" t="str">
        <f t="shared" si="12"/>
        <v>North</v>
      </c>
      <c r="AD96" t="str">
        <f t="shared" si="13"/>
        <v>Haryana</v>
      </c>
      <c r="AE96" t="str">
        <f t="shared" si="14"/>
        <v>Gurugram</v>
      </c>
      <c r="AF96" t="str">
        <f t="shared" si="15"/>
        <v>Technology</v>
      </c>
      <c r="AG96" t="str">
        <f t="shared" si="16"/>
        <v>Phones</v>
      </c>
      <c r="AH96" t="str">
        <f t="shared" si="17"/>
        <v>Elite Phones 723</v>
      </c>
      <c r="AI96" t="str">
        <f t="shared" si="18"/>
        <v>Second Class</v>
      </c>
      <c r="AJ96" s="3" t="str">
        <f t="shared" si="19"/>
        <v>anomaly</v>
      </c>
      <c r="AK96">
        <f t="shared" si="20"/>
        <v>92</v>
      </c>
    </row>
    <row r="97" spans="1:37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  <c r="W97" t="s">
        <v>571</v>
      </c>
      <c r="X97" t="str">
        <v>05-09-25</v>
      </c>
      <c r="Y97" t="str">
        <v>09-10-25</v>
      </c>
      <c r="Z97" t="s">
        <v>574</v>
      </c>
      <c r="AA97" t="str">
        <v>Sneha Kapoor</v>
      </c>
      <c r="AB97" t="str">
        <f t="shared" si="11"/>
        <v>Corporate</v>
      </c>
      <c r="AC97" t="str">
        <f t="shared" si="12"/>
        <v>West</v>
      </c>
      <c r="AD97" t="str">
        <f t="shared" si="13"/>
        <v>Goa</v>
      </c>
      <c r="AE97" t="str">
        <f t="shared" si="14"/>
        <v>Panaji</v>
      </c>
      <c r="AF97" t="str">
        <f t="shared" si="15"/>
        <v>Furniture</v>
      </c>
      <c r="AG97" t="str">
        <f t="shared" si="16"/>
        <v>Bookcases</v>
      </c>
      <c r="AH97" t="str">
        <f t="shared" si="17"/>
        <v>Classic Bookcases 988</v>
      </c>
      <c r="AI97" t="str">
        <f t="shared" si="18"/>
        <v>Same Day</v>
      </c>
      <c r="AJ97" s="3" t="str">
        <f t="shared" si="19"/>
        <v>anomaly</v>
      </c>
      <c r="AK97">
        <f t="shared" si="20"/>
        <v>34</v>
      </c>
    </row>
    <row r="98" spans="1:37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  <c r="W98" t="s">
        <v>576</v>
      </c>
      <c r="X98" t="str">
        <v>05-06-24</v>
      </c>
      <c r="Y98" t="str">
        <v>07-06-24</v>
      </c>
      <c r="Z98" t="s">
        <v>579</v>
      </c>
      <c r="AA98" t="str">
        <v>Rahul Verma</v>
      </c>
      <c r="AB98" t="str">
        <f t="shared" si="11"/>
        <v>Home Office</v>
      </c>
      <c r="AC98" t="str">
        <f t="shared" si="12"/>
        <v>East</v>
      </c>
      <c r="AD98" t="str">
        <f t="shared" si="13"/>
        <v>Odisha</v>
      </c>
      <c r="AE98" t="str">
        <f t="shared" si="14"/>
        <v>Bhubaneswar</v>
      </c>
      <c r="AF98" t="str">
        <f t="shared" si="15"/>
        <v>Technology</v>
      </c>
      <c r="AG98" t="str">
        <f t="shared" si="16"/>
        <v>Copiers</v>
      </c>
      <c r="AH98" t="str">
        <f t="shared" si="17"/>
        <v>Smart Copiers 547</v>
      </c>
      <c r="AI98" t="str">
        <f t="shared" si="18"/>
        <v>Second Class</v>
      </c>
      <c r="AJ98" s="3" t="str">
        <f t="shared" si="19"/>
        <v>anomaly</v>
      </c>
      <c r="AK98">
        <f t="shared" si="20"/>
        <v>2</v>
      </c>
    </row>
    <row r="99" spans="1:37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  <c r="W99" t="s">
        <v>581</v>
      </c>
      <c r="X99" t="str">
        <v>08-08-25</v>
      </c>
      <c r="Y99" t="str">
        <v>11-08-25</v>
      </c>
      <c r="Z99" t="s">
        <v>584</v>
      </c>
      <c r="AA99" t="str">
        <v>Diya Patel</v>
      </c>
      <c r="AB99" t="str">
        <f t="shared" si="11"/>
        <v>Small Business</v>
      </c>
      <c r="AC99" t="str">
        <f t="shared" si="12"/>
        <v>West</v>
      </c>
      <c r="AD99" t="str">
        <f t="shared" si="13"/>
        <v>Gujarat</v>
      </c>
      <c r="AE99" t="str">
        <f t="shared" si="14"/>
        <v>Ahmedabad</v>
      </c>
      <c r="AF99" t="str">
        <f t="shared" si="15"/>
        <v>Office Supplies</v>
      </c>
      <c r="AG99" t="str">
        <f t="shared" si="16"/>
        <v>Storage</v>
      </c>
      <c r="AH99" t="str">
        <f t="shared" si="17"/>
        <v>Basic Storage 656</v>
      </c>
      <c r="AI99" t="str">
        <f t="shared" si="18"/>
        <v>Same Day</v>
      </c>
      <c r="AJ99" s="3" t="str">
        <f t="shared" si="19"/>
        <v>anomaly</v>
      </c>
      <c r="AK99">
        <f t="shared" si="20"/>
        <v>3</v>
      </c>
    </row>
    <row r="100" spans="1:37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  <c r="W100" t="s">
        <v>586</v>
      </c>
      <c r="X100" t="str">
        <v>26-01-24</v>
      </c>
      <c r="Y100" t="str">
        <v>02-01-24</v>
      </c>
      <c r="Z100" t="s">
        <v>589</v>
      </c>
      <c r="AA100" t="str">
        <v>Rohan Mehta</v>
      </c>
      <c r="AB100" t="str">
        <f t="shared" si="11"/>
        <v>Home Office</v>
      </c>
      <c r="AC100" t="str">
        <f t="shared" si="12"/>
        <v>South</v>
      </c>
      <c r="AD100" t="str">
        <f t="shared" si="13"/>
        <v>Kerala</v>
      </c>
      <c r="AE100" t="str">
        <f t="shared" si="14"/>
        <v>Kochi</v>
      </c>
      <c r="AF100" t="str">
        <f t="shared" si="15"/>
        <v>Technology</v>
      </c>
      <c r="AG100" t="str">
        <f t="shared" si="16"/>
        <v>Copiers</v>
      </c>
      <c r="AH100" t="str">
        <f t="shared" si="17"/>
        <v>Elite Copiers 785</v>
      </c>
      <c r="AI100" s="5" t="s">
        <v>4116</v>
      </c>
      <c r="AJ100" s="3" t="str">
        <f t="shared" si="19"/>
        <v xml:space="preserve">  </v>
      </c>
      <c r="AK100">
        <f t="shared" si="20"/>
        <v>-24</v>
      </c>
    </row>
    <row r="101" spans="1:37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  <c r="W101" t="s">
        <v>591</v>
      </c>
      <c r="X101" t="str">
        <v>11-01-25</v>
      </c>
      <c r="Y101" t="str">
        <v>11-01-25</v>
      </c>
      <c r="Z101" t="s">
        <v>593</v>
      </c>
      <c r="AA101" t="str">
        <v>Aditi Sen</v>
      </c>
      <c r="AB101" t="str">
        <f t="shared" si="11"/>
        <v>Small Business</v>
      </c>
      <c r="AC101" t="str">
        <f t="shared" si="12"/>
        <v>West</v>
      </c>
      <c r="AD101" t="str">
        <f t="shared" si="13"/>
        <v>Rajasthan</v>
      </c>
      <c r="AE101" t="str">
        <f t="shared" si="14"/>
        <v>Udaipur</v>
      </c>
      <c r="AF101" t="str">
        <f t="shared" si="15"/>
        <v>Technology</v>
      </c>
      <c r="AG101" t="str">
        <f t="shared" si="16"/>
        <v>Accessories</v>
      </c>
      <c r="AH101" t="str">
        <f t="shared" si="17"/>
        <v>Smart Accessories 542</v>
      </c>
      <c r="AI101" t="str">
        <f t="shared" si="18"/>
        <v>Same Day</v>
      </c>
      <c r="AJ101" s="3" t="str">
        <f t="shared" si="19"/>
        <v xml:space="preserve">  </v>
      </c>
      <c r="AK101">
        <f t="shared" si="20"/>
        <v>0</v>
      </c>
    </row>
    <row r="102" spans="1:37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  <c r="W102" t="s">
        <v>595</v>
      </c>
      <c r="X102" t="str">
        <v>12-09-25</v>
      </c>
      <c r="Y102" t="str">
        <v>18-09-25</v>
      </c>
      <c r="Z102" t="s">
        <v>598</v>
      </c>
      <c r="AA102" t="str">
        <v>Aarav Sharma</v>
      </c>
      <c r="AB102" t="str">
        <f t="shared" si="11"/>
        <v>Home Office</v>
      </c>
      <c r="AC102" t="str">
        <f t="shared" si="12"/>
        <v>South</v>
      </c>
      <c r="AD102" t="str">
        <f t="shared" si="13"/>
        <v>Kerala</v>
      </c>
      <c r="AE102" t="str">
        <f t="shared" si="14"/>
        <v>Kochi</v>
      </c>
      <c r="AF102" t="str">
        <f t="shared" si="15"/>
        <v>Office Supplies</v>
      </c>
      <c r="AG102" t="str">
        <f t="shared" si="16"/>
        <v>Storage</v>
      </c>
      <c r="AH102" t="str">
        <f t="shared" si="17"/>
        <v>Eco Storage 936</v>
      </c>
      <c r="AI102" t="str">
        <f t="shared" si="18"/>
        <v>Standard Class</v>
      </c>
      <c r="AJ102" s="3" t="str">
        <f t="shared" si="19"/>
        <v>anomaly</v>
      </c>
      <c r="AK102">
        <f t="shared" si="20"/>
        <v>6</v>
      </c>
    </row>
    <row r="103" spans="1:37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  <c r="W103" t="s">
        <v>600</v>
      </c>
      <c r="X103" t="str">
        <v>invalid date</v>
      </c>
      <c r="Y103" t="str">
        <v>26-06-24</v>
      </c>
      <c r="Z103" t="s">
        <v>602</v>
      </c>
      <c r="AA103" t="str">
        <v>Rohan Mehta</v>
      </c>
      <c r="AB103" t="str">
        <f t="shared" si="11"/>
        <v>Home Office</v>
      </c>
      <c r="AC103" t="str">
        <f t="shared" si="12"/>
        <v>East</v>
      </c>
      <c r="AD103" t="str">
        <f t="shared" si="13"/>
        <v>Bihar</v>
      </c>
      <c r="AE103" t="str">
        <f t="shared" si="14"/>
        <v>Patna</v>
      </c>
      <c r="AF103" t="str">
        <f t="shared" si="15"/>
        <v>Furniture</v>
      </c>
      <c r="AG103" t="str">
        <f t="shared" si="16"/>
        <v>Furnishings</v>
      </c>
      <c r="AH103" t="str">
        <f t="shared" si="17"/>
        <v>Classic Furnishings 682</v>
      </c>
      <c r="AI103" t="str">
        <f t="shared" si="18"/>
        <v>First Class</v>
      </c>
      <c r="AJ103" s="3" t="str">
        <f t="shared" si="19"/>
        <v>Invalid</v>
      </c>
      <c r="AK103" t="str">
        <f t="shared" si="20"/>
        <v>invalid date</v>
      </c>
    </row>
    <row r="104" spans="1:37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  <c r="W104" t="s">
        <v>604</v>
      </c>
      <c r="X104" t="str">
        <v>12-07-25</v>
      </c>
      <c r="Y104" t="str">
        <v>16-07-25</v>
      </c>
      <c r="Z104" t="s">
        <v>607</v>
      </c>
      <c r="AA104" t="str">
        <v>Vikram Iyer</v>
      </c>
      <c r="AB104" t="str">
        <f t="shared" si="11"/>
        <v>Consumer</v>
      </c>
      <c r="AC104" t="str">
        <f t="shared" si="12"/>
        <v>South</v>
      </c>
      <c r="AD104" t="str">
        <f t="shared" si="13"/>
        <v>Karnataka</v>
      </c>
      <c r="AE104" t="str">
        <f t="shared" si="14"/>
        <v>Bengaluru</v>
      </c>
      <c r="AF104" t="str">
        <f t="shared" si="15"/>
        <v>Furniture</v>
      </c>
      <c r="AG104" t="str">
        <f t="shared" si="16"/>
        <v>Chairs</v>
      </c>
      <c r="AH104" t="str">
        <f t="shared" si="17"/>
        <v>Classic Chairs 604</v>
      </c>
      <c r="AI104" t="str">
        <f t="shared" si="18"/>
        <v>First Class</v>
      </c>
      <c r="AJ104" s="3" t="str">
        <f t="shared" si="19"/>
        <v>anomaly</v>
      </c>
      <c r="AK104">
        <f t="shared" si="20"/>
        <v>4</v>
      </c>
    </row>
    <row r="105" spans="1:37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  <c r="W105" t="s">
        <v>609</v>
      </c>
      <c r="X105" t="str">
        <v>05-02-25</v>
      </c>
      <c r="Y105" t="str">
        <v>05-10-25</v>
      </c>
      <c r="Z105" t="s">
        <v>612</v>
      </c>
      <c r="AA105" t="str">
        <v>Kabir Singh</v>
      </c>
      <c r="AB105" t="str">
        <f t="shared" si="11"/>
        <v>Corporate</v>
      </c>
      <c r="AC105" t="str">
        <f t="shared" si="12"/>
        <v>West</v>
      </c>
      <c r="AD105" t="str">
        <f t="shared" si="13"/>
        <v>Maharashtra</v>
      </c>
      <c r="AE105" t="str">
        <f t="shared" si="14"/>
        <v>Mumbai</v>
      </c>
      <c r="AF105" t="str">
        <f t="shared" si="15"/>
        <v>Furniture</v>
      </c>
      <c r="AG105" t="str">
        <f t="shared" si="16"/>
        <v>Tables</v>
      </c>
      <c r="AH105" t="str">
        <f t="shared" si="17"/>
        <v>Prime Tables 377</v>
      </c>
      <c r="AI105" t="str">
        <f t="shared" si="18"/>
        <v>First Class</v>
      </c>
      <c r="AJ105" s="3" t="str">
        <f t="shared" si="19"/>
        <v>anomaly</v>
      </c>
      <c r="AK105">
        <f t="shared" si="20"/>
        <v>242</v>
      </c>
    </row>
    <row r="106" spans="1:37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  <c r="W106" t="s">
        <v>614</v>
      </c>
      <c r="X106" t="str">
        <v>01-02-25</v>
      </c>
      <c r="Y106" t="str">
        <v>02-08-25</v>
      </c>
      <c r="Z106" t="s">
        <v>617</v>
      </c>
      <c r="AA106" t="str">
        <v>Ananya Rao</v>
      </c>
      <c r="AB106" t="str">
        <f t="shared" si="11"/>
        <v>Consumer</v>
      </c>
      <c r="AC106" t="str">
        <f t="shared" si="12"/>
        <v>South</v>
      </c>
      <c r="AD106" t="str">
        <f t="shared" si="13"/>
        <v>Karnataka</v>
      </c>
      <c r="AE106" t="str">
        <f t="shared" si="14"/>
        <v>Bengaluru</v>
      </c>
      <c r="AF106" t="str">
        <f t="shared" si="15"/>
        <v>Office Supplies</v>
      </c>
      <c r="AG106" t="str">
        <f t="shared" si="16"/>
        <v>Labels</v>
      </c>
      <c r="AH106" t="str">
        <f t="shared" si="17"/>
        <v>Prime Labels 807</v>
      </c>
      <c r="AI106" t="str">
        <f t="shared" si="18"/>
        <v>Same Day</v>
      </c>
      <c r="AJ106" s="3" t="str">
        <f t="shared" si="19"/>
        <v>anomaly</v>
      </c>
      <c r="AK106">
        <f t="shared" si="20"/>
        <v>182</v>
      </c>
    </row>
    <row r="107" spans="1:37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  <c r="W107" t="s">
        <v>619</v>
      </c>
      <c r="X107" t="str">
        <v>invalid date</v>
      </c>
      <c r="Y107" t="str">
        <v>29-06-24</v>
      </c>
      <c r="Z107" t="s">
        <v>622</v>
      </c>
      <c r="AA107" t="str">
        <v>Mira Das</v>
      </c>
      <c r="AB107" t="str">
        <f t="shared" si="11"/>
        <v>Home Office</v>
      </c>
      <c r="AC107" t="str">
        <f t="shared" si="12"/>
        <v>East</v>
      </c>
      <c r="AD107" t="str">
        <f t="shared" si="13"/>
        <v>West Bengal</v>
      </c>
      <c r="AE107" t="str">
        <f t="shared" si="14"/>
        <v>Kolkata</v>
      </c>
      <c r="AF107" t="str">
        <f t="shared" si="15"/>
        <v>Furniture</v>
      </c>
      <c r="AG107" t="str">
        <f t="shared" si="16"/>
        <v>Tables</v>
      </c>
      <c r="AH107" t="str">
        <f t="shared" si="17"/>
        <v>Eco Tables 575</v>
      </c>
      <c r="AI107" t="str">
        <f t="shared" si="18"/>
        <v>Second Class</v>
      </c>
      <c r="AJ107" s="3" t="str">
        <f t="shared" si="19"/>
        <v>Invalid</v>
      </c>
      <c r="AK107" t="str">
        <f t="shared" si="20"/>
        <v>invalid date</v>
      </c>
    </row>
    <row r="108" spans="1:37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  <c r="W108" t="s">
        <v>624</v>
      </c>
      <c r="X108" t="str">
        <v>20-02-24</v>
      </c>
      <c r="Y108" t="str">
        <v>28-02-24</v>
      </c>
      <c r="Z108" t="s">
        <v>627</v>
      </c>
      <c r="AA108" t="str">
        <v>Arjun Bose</v>
      </c>
      <c r="AB108" t="str">
        <f t="shared" si="11"/>
        <v>Home Office</v>
      </c>
      <c r="AC108" t="str">
        <f t="shared" si="12"/>
        <v>East</v>
      </c>
      <c r="AD108" t="str">
        <f t="shared" si="13"/>
        <v>West Bengal</v>
      </c>
      <c r="AE108" t="str">
        <f t="shared" si="14"/>
        <v>Kolkata</v>
      </c>
      <c r="AF108" t="str">
        <f t="shared" si="15"/>
        <v>Office Supplies</v>
      </c>
      <c r="AG108" t="str">
        <f t="shared" si="16"/>
        <v>Paper</v>
      </c>
      <c r="AH108" t="str">
        <f t="shared" si="17"/>
        <v>Eco Paper 918</v>
      </c>
      <c r="AI108" t="str">
        <f t="shared" si="18"/>
        <v>Standard Class</v>
      </c>
      <c r="AJ108" s="3" t="str">
        <f t="shared" si="19"/>
        <v>anomaly</v>
      </c>
      <c r="AK108">
        <f t="shared" si="20"/>
        <v>8</v>
      </c>
    </row>
    <row r="109" spans="1:37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  <c r="W109" t="s">
        <v>629</v>
      </c>
      <c r="X109" t="str">
        <v>29-10-24</v>
      </c>
      <c r="Y109" t="str">
        <v>04-11-24</v>
      </c>
      <c r="Z109" t="s">
        <v>632</v>
      </c>
      <c r="AA109" t="str">
        <v>Rohan Mehta</v>
      </c>
      <c r="AB109" t="str">
        <f t="shared" si="11"/>
        <v>Home Office</v>
      </c>
      <c r="AC109" t="str">
        <f t="shared" si="12"/>
        <v>East</v>
      </c>
      <c r="AD109" t="str">
        <f t="shared" si="13"/>
        <v>West Bengal</v>
      </c>
      <c r="AE109" t="str">
        <f t="shared" si="14"/>
        <v>Kolkata</v>
      </c>
      <c r="AF109" t="str">
        <f t="shared" si="15"/>
        <v>Furniture</v>
      </c>
      <c r="AG109" t="str">
        <f t="shared" si="16"/>
        <v>Furnishings</v>
      </c>
      <c r="AH109" t="str">
        <f t="shared" si="17"/>
        <v>Prime Furnishings 952</v>
      </c>
      <c r="AI109" t="str">
        <f t="shared" si="18"/>
        <v>First Class</v>
      </c>
      <c r="AJ109" s="3" t="str">
        <f t="shared" si="19"/>
        <v xml:space="preserve">  </v>
      </c>
      <c r="AK109">
        <f t="shared" si="20"/>
        <v>6</v>
      </c>
    </row>
    <row r="110" spans="1:37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  <c r="W110" t="s">
        <v>634</v>
      </c>
      <c r="X110" t="str">
        <v>15-08-24</v>
      </c>
      <c r="Y110" t="str">
        <v>invalid date</v>
      </c>
      <c r="Z110" t="s">
        <v>637</v>
      </c>
      <c r="AA110" t="str">
        <v>Aditi Sen</v>
      </c>
      <c r="AB110" t="str">
        <f t="shared" si="11"/>
        <v>Small Business</v>
      </c>
      <c r="AC110" t="str">
        <f t="shared" si="12"/>
        <v>East</v>
      </c>
      <c r="AD110" t="str">
        <f t="shared" si="13"/>
        <v>Odisha</v>
      </c>
      <c r="AE110" t="str">
        <f t="shared" si="14"/>
        <v>Bhubaneswar</v>
      </c>
      <c r="AF110" t="str">
        <f t="shared" si="15"/>
        <v>Furniture</v>
      </c>
      <c r="AG110" t="str">
        <f t="shared" si="16"/>
        <v>Bookcases</v>
      </c>
      <c r="AH110" t="str">
        <f t="shared" si="17"/>
        <v>Prime Bookcases 631</v>
      </c>
      <c r="AI110" t="str">
        <f t="shared" si="18"/>
        <v>Same Day</v>
      </c>
      <c r="AJ110" s="3" t="str">
        <f t="shared" si="19"/>
        <v>Invalid</v>
      </c>
      <c r="AK110" t="str">
        <f t="shared" si="20"/>
        <v>invalid date</v>
      </c>
    </row>
    <row r="111" spans="1:37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  <c r="W111" t="s">
        <v>639</v>
      </c>
      <c r="X111" t="str">
        <v>23-08-25</v>
      </c>
      <c r="Y111" t="str">
        <v>invalid date</v>
      </c>
      <c r="Z111" t="s">
        <v>641</v>
      </c>
      <c r="AA111" t="str">
        <v>Sneha Kapoor</v>
      </c>
      <c r="AB111" t="str">
        <f t="shared" si="11"/>
        <v>Consumer</v>
      </c>
      <c r="AC111" t="str">
        <f t="shared" si="12"/>
        <v>North</v>
      </c>
      <c r="AD111" t="str">
        <f t="shared" si="13"/>
        <v>Delhi</v>
      </c>
      <c r="AE111" t="str">
        <f t="shared" si="14"/>
        <v>New Delhi</v>
      </c>
      <c r="AF111" t="str">
        <f t="shared" si="15"/>
        <v>Office Supplies</v>
      </c>
      <c r="AG111" t="str">
        <f t="shared" si="16"/>
        <v>Binders</v>
      </c>
      <c r="AH111" t="str">
        <f t="shared" si="17"/>
        <v>Classic Binders 660</v>
      </c>
      <c r="AI111" t="str">
        <f t="shared" si="18"/>
        <v>Second Class</v>
      </c>
      <c r="AJ111" s="3" t="str">
        <f t="shared" si="19"/>
        <v>Invalid</v>
      </c>
      <c r="AK111" t="str">
        <f t="shared" si="20"/>
        <v>invalid date</v>
      </c>
    </row>
    <row r="112" spans="1:37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  <c r="W112" t="s">
        <v>643</v>
      </c>
      <c r="X112" t="str">
        <v>invalid date</v>
      </c>
      <c r="Y112" t="str">
        <v>24-10-24</v>
      </c>
      <c r="Z112" t="s">
        <v>646</v>
      </c>
      <c r="AA112" t="str">
        <v>Vikram Iyer</v>
      </c>
      <c r="AB112" t="str">
        <f t="shared" si="11"/>
        <v>Corporate</v>
      </c>
      <c r="AC112" t="str">
        <f t="shared" si="12"/>
        <v>South</v>
      </c>
      <c r="AD112" t="str">
        <f t="shared" si="13"/>
        <v>Kerala</v>
      </c>
      <c r="AE112" t="str">
        <f t="shared" si="14"/>
        <v>Kochi</v>
      </c>
      <c r="AF112" t="str">
        <f t="shared" si="15"/>
        <v>Office Supplies</v>
      </c>
      <c r="AG112" t="str">
        <f t="shared" si="16"/>
        <v>Labels</v>
      </c>
      <c r="AH112" t="str">
        <f t="shared" si="17"/>
        <v>Pro Labels 255</v>
      </c>
      <c r="AI112" t="str">
        <f t="shared" si="18"/>
        <v>First Class</v>
      </c>
      <c r="AJ112" s="3" t="str">
        <f t="shared" si="19"/>
        <v>Invalid</v>
      </c>
      <c r="AK112" t="str">
        <f t="shared" si="20"/>
        <v>invalid date</v>
      </c>
    </row>
    <row r="113" spans="1:37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  <c r="W113" t="s">
        <v>648</v>
      </c>
      <c r="X113" t="str">
        <v>invalid date</v>
      </c>
      <c r="Y113" t="str">
        <v>30-06-25</v>
      </c>
      <c r="Z113" t="s">
        <v>651</v>
      </c>
      <c r="AA113" t="str">
        <v>Neha Gupta</v>
      </c>
      <c r="AB113" t="str">
        <f t="shared" si="11"/>
        <v>Corporate</v>
      </c>
      <c r="AC113" t="str">
        <f t="shared" si="12"/>
        <v>East</v>
      </c>
      <c r="AD113" t="str">
        <f t="shared" si="13"/>
        <v>Bihar</v>
      </c>
      <c r="AE113" t="str">
        <f t="shared" si="14"/>
        <v>Patna</v>
      </c>
      <c r="AF113" t="str">
        <f t="shared" si="15"/>
        <v>Technology</v>
      </c>
      <c r="AG113" t="str">
        <f t="shared" si="16"/>
        <v>Accessories</v>
      </c>
      <c r="AH113" t="str">
        <f t="shared" si="17"/>
        <v>Basic Accessories 187</v>
      </c>
      <c r="AI113" t="str">
        <f t="shared" si="18"/>
        <v>First Class</v>
      </c>
      <c r="AJ113" s="3" t="str">
        <f t="shared" si="19"/>
        <v>Invalid</v>
      </c>
      <c r="AK113" t="str">
        <f t="shared" si="20"/>
        <v>invalid date</v>
      </c>
    </row>
    <row r="114" spans="1:37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  <c r="W114" t="s">
        <v>653</v>
      </c>
      <c r="X114" t="str">
        <v>10-01-24</v>
      </c>
      <c r="Y114" t="str">
        <v>14-01-24</v>
      </c>
      <c r="Z114" t="s">
        <v>656</v>
      </c>
      <c r="AA114" t="str">
        <v>Sneha Kapoor</v>
      </c>
      <c r="AB114" t="str">
        <f t="shared" si="11"/>
        <v>Consumer</v>
      </c>
      <c r="AC114" s="5" t="s">
        <v>4116</v>
      </c>
      <c r="AD114" t="str">
        <f t="shared" si="13"/>
        <v>Gujarat</v>
      </c>
      <c r="AE114" t="str">
        <f t="shared" si="14"/>
        <v>Ahmedabad</v>
      </c>
      <c r="AF114" t="str">
        <f t="shared" si="15"/>
        <v>Technology</v>
      </c>
      <c r="AG114" t="str">
        <f t="shared" si="16"/>
        <v>Accessories</v>
      </c>
      <c r="AH114" t="str">
        <f t="shared" si="17"/>
        <v>Max Accessories 451</v>
      </c>
      <c r="AI114" t="str">
        <f t="shared" si="18"/>
        <v>Standard Class</v>
      </c>
      <c r="AJ114" s="3" t="str">
        <f t="shared" si="19"/>
        <v>anomaly</v>
      </c>
      <c r="AK114">
        <f t="shared" si="20"/>
        <v>4</v>
      </c>
    </row>
    <row r="115" spans="1:37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  <c r="W115" t="s">
        <v>658</v>
      </c>
      <c r="X115" t="str">
        <v>12-02-24</v>
      </c>
      <c r="Y115" t="str">
        <v>12-02-24</v>
      </c>
      <c r="Z115" t="s">
        <v>521</v>
      </c>
      <c r="AA115" t="str">
        <v>Isha Nair</v>
      </c>
      <c r="AB115" t="str">
        <f t="shared" si="11"/>
        <v>Home Office</v>
      </c>
      <c r="AC115" t="str">
        <f t="shared" si="12"/>
        <v>South</v>
      </c>
      <c r="AD115" t="str">
        <f t="shared" si="13"/>
        <v>Tamil Nadu</v>
      </c>
      <c r="AE115" t="str">
        <f t="shared" si="14"/>
        <v>Chennai</v>
      </c>
      <c r="AF115" t="str">
        <f t="shared" si="15"/>
        <v>Furniture</v>
      </c>
      <c r="AG115" t="str">
        <f t="shared" si="16"/>
        <v>Tables</v>
      </c>
      <c r="AH115" t="str">
        <f t="shared" si="17"/>
        <v>Classic Tables 752</v>
      </c>
      <c r="AI115" t="str">
        <f t="shared" si="18"/>
        <v>Standard Class</v>
      </c>
      <c r="AJ115" s="3" t="str">
        <f t="shared" si="19"/>
        <v xml:space="preserve">  </v>
      </c>
      <c r="AK115">
        <f t="shared" si="20"/>
        <v>0</v>
      </c>
    </row>
    <row r="116" spans="1:37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  <c r="W116" t="s">
        <v>661</v>
      </c>
      <c r="X116" t="str">
        <v>25-09-24</v>
      </c>
      <c r="Y116" t="str">
        <v>30-09-24</v>
      </c>
      <c r="Z116" t="s">
        <v>664</v>
      </c>
      <c r="AA116" t="str">
        <v>Neha Gupta</v>
      </c>
      <c r="AB116" t="str">
        <f t="shared" si="11"/>
        <v>Small Business</v>
      </c>
      <c r="AC116" t="str">
        <f t="shared" si="12"/>
        <v>North</v>
      </c>
      <c r="AD116" t="str">
        <f t="shared" si="13"/>
        <v>Rajasthan</v>
      </c>
      <c r="AE116" t="str">
        <f t="shared" si="14"/>
        <v>Jaipur</v>
      </c>
      <c r="AF116" t="str">
        <f t="shared" si="15"/>
        <v>Technology</v>
      </c>
      <c r="AG116" t="str">
        <f t="shared" si="16"/>
        <v>Accessories</v>
      </c>
      <c r="AH116" t="str">
        <f t="shared" si="17"/>
        <v>Eco Accessories 452</v>
      </c>
      <c r="AI116" t="str">
        <f t="shared" si="18"/>
        <v>Second Class</v>
      </c>
      <c r="AJ116" s="3" t="str">
        <f t="shared" si="19"/>
        <v>anomaly</v>
      </c>
      <c r="AK116">
        <f t="shared" si="20"/>
        <v>5</v>
      </c>
    </row>
    <row r="117" spans="1:37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  <c r="W117" t="s">
        <v>666</v>
      </c>
      <c r="X117" t="str">
        <v>27-12-24</v>
      </c>
      <c r="Y117" t="str">
        <v>01-01-25</v>
      </c>
      <c r="Z117" t="s">
        <v>669</v>
      </c>
      <c r="AA117" t="str">
        <v>Kabir Singh</v>
      </c>
      <c r="AB117" t="str">
        <f t="shared" si="11"/>
        <v>Corporate</v>
      </c>
      <c r="AC117" t="str">
        <f t="shared" si="12"/>
        <v>South</v>
      </c>
      <c r="AD117" t="str">
        <f t="shared" si="13"/>
        <v>Tamil Nadu</v>
      </c>
      <c r="AE117" t="str">
        <f t="shared" si="14"/>
        <v>Chennai</v>
      </c>
      <c r="AF117" t="str">
        <f t="shared" si="15"/>
        <v>Office Supplies</v>
      </c>
      <c r="AG117" t="str">
        <f t="shared" si="16"/>
        <v>Binders</v>
      </c>
      <c r="AH117" t="str">
        <f t="shared" si="17"/>
        <v>Classic Binders 203</v>
      </c>
      <c r="AI117" t="str">
        <f t="shared" si="18"/>
        <v>Same Day</v>
      </c>
      <c r="AJ117" s="3" t="str">
        <f t="shared" si="19"/>
        <v xml:space="preserve">  </v>
      </c>
      <c r="AK117">
        <f t="shared" si="20"/>
        <v>5</v>
      </c>
    </row>
    <row r="118" spans="1:37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  <c r="W118" t="s">
        <v>671</v>
      </c>
      <c r="X118" t="str">
        <v>15-02-25</v>
      </c>
      <c r="Y118" t="str">
        <v>19-02-25</v>
      </c>
      <c r="Z118" t="s">
        <v>674</v>
      </c>
      <c r="AA118" t="str">
        <v>Ananya Rao</v>
      </c>
      <c r="AB118" t="str">
        <f t="shared" si="11"/>
        <v>Small Business</v>
      </c>
      <c r="AC118" s="5" t="s">
        <v>4116</v>
      </c>
      <c r="AD118" t="str">
        <f t="shared" si="13"/>
        <v>Madhya Pradesh</v>
      </c>
      <c r="AE118" t="str">
        <f t="shared" si="14"/>
        <v>Indore</v>
      </c>
      <c r="AF118" t="str">
        <f t="shared" si="15"/>
        <v>Office Supplies</v>
      </c>
      <c r="AG118" t="str">
        <f t="shared" si="16"/>
        <v>Binders</v>
      </c>
      <c r="AH118" t="str">
        <f t="shared" si="17"/>
        <v>Basic Binders 859</v>
      </c>
      <c r="AI118" t="str">
        <f t="shared" si="18"/>
        <v>First Class</v>
      </c>
      <c r="AJ118" s="3" t="str">
        <f t="shared" si="19"/>
        <v>anomaly</v>
      </c>
      <c r="AK118">
        <f t="shared" si="20"/>
        <v>4</v>
      </c>
    </row>
    <row r="119" spans="1:37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s="6" t="s">
        <v>4117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  <c r="W119" t="s">
        <v>676</v>
      </c>
      <c r="X119" t="str">
        <v>15-02-24</v>
      </c>
      <c r="Y119" t="str">
        <v>17-02-24</v>
      </c>
      <c r="Z119" t="s">
        <v>679</v>
      </c>
      <c r="AA119" t="str">
        <v>Mira Das</v>
      </c>
      <c r="AB119" t="str">
        <f t="shared" si="11"/>
        <v>Home Office</v>
      </c>
      <c r="AC119" t="str">
        <f t="shared" si="12"/>
        <v>South</v>
      </c>
      <c r="AD119" t="str">
        <f t="shared" si="13"/>
        <v>Tamil Nadu</v>
      </c>
      <c r="AE119" t="str">
        <f t="shared" si="14"/>
        <v>Chennai</v>
      </c>
      <c r="AF119" t="str">
        <f t="shared" si="15"/>
        <v>Technology</v>
      </c>
      <c r="AG119" t="str">
        <f t="shared" si="16"/>
        <v>Machines</v>
      </c>
      <c r="AH119" t="str">
        <f t="shared" si="17"/>
        <v>Elite Machines 705</v>
      </c>
      <c r="AI119" t="str">
        <f t="shared" si="18"/>
        <v>Standard Class</v>
      </c>
      <c r="AJ119" s="3" t="str">
        <f t="shared" si="19"/>
        <v>anomaly</v>
      </c>
      <c r="AK119">
        <f t="shared" si="20"/>
        <v>2</v>
      </c>
    </row>
    <row r="120" spans="1:37">
      <c r="A120" t="s">
        <v>681</v>
      </c>
      <c r="B120" t="s">
        <v>682</v>
      </c>
      <c r="C120" t="s">
        <v>683</v>
      </c>
      <c r="D120" t="s">
        <v>684</v>
      </c>
      <c r="E120" t="s">
        <v>685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686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  <c r="W120" t="s">
        <v>681</v>
      </c>
      <c r="X120" t="str">
        <v>06-10-24</v>
      </c>
      <c r="Y120" t="str">
        <v>18-06-24</v>
      </c>
      <c r="Z120" t="s">
        <v>684</v>
      </c>
      <c r="AA120" t="str">
        <v>Vikram Iyer</v>
      </c>
      <c r="AB120" t="str">
        <f t="shared" si="11"/>
        <v>Home Office</v>
      </c>
      <c r="AC120" t="str">
        <f t="shared" si="12"/>
        <v>South</v>
      </c>
      <c r="AD120" t="str">
        <f t="shared" si="13"/>
        <v>Andhra Pradesh</v>
      </c>
      <c r="AE120" t="str">
        <f t="shared" si="14"/>
        <v>Vijayawada</v>
      </c>
      <c r="AF120" t="str">
        <f t="shared" si="15"/>
        <v>Technology</v>
      </c>
      <c r="AG120" t="str">
        <f t="shared" si="16"/>
        <v>Copiers</v>
      </c>
      <c r="AH120" t="str">
        <f t="shared" si="17"/>
        <v>Pro Copiers 208</v>
      </c>
      <c r="AI120" t="str">
        <f t="shared" si="18"/>
        <v>Same Day</v>
      </c>
      <c r="AJ120" s="3" t="str">
        <f t="shared" si="19"/>
        <v>anomaly</v>
      </c>
      <c r="AK120">
        <f t="shared" si="20"/>
        <v>-110</v>
      </c>
    </row>
    <row r="121" spans="1:37">
      <c r="A121" t="s">
        <v>687</v>
      </c>
      <c r="B121" t="s">
        <v>688</v>
      </c>
      <c r="C121" t="s">
        <v>689</v>
      </c>
      <c r="D121" t="s">
        <v>690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691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  <c r="W121" t="s">
        <v>687</v>
      </c>
      <c r="X121" t="str">
        <v>12-06-24</v>
      </c>
      <c r="Y121" t="str">
        <v>19-06-24</v>
      </c>
      <c r="Z121" t="s">
        <v>690</v>
      </c>
      <c r="AA121" t="str">
        <v>Aditi Sen</v>
      </c>
      <c r="AB121" t="str">
        <f t="shared" si="11"/>
        <v>Small Business</v>
      </c>
      <c r="AC121" t="str">
        <f t="shared" si="12"/>
        <v>South</v>
      </c>
      <c r="AD121" t="str">
        <f t="shared" si="13"/>
        <v>Kerala</v>
      </c>
      <c r="AE121" t="str">
        <f t="shared" si="14"/>
        <v>Kochi</v>
      </c>
      <c r="AF121" t="str">
        <f t="shared" si="15"/>
        <v>Furniture</v>
      </c>
      <c r="AG121" t="str">
        <f t="shared" si="16"/>
        <v>Chairs</v>
      </c>
      <c r="AH121" t="str">
        <f t="shared" si="17"/>
        <v>Elite Chairs 921</v>
      </c>
      <c r="AI121" t="str">
        <f t="shared" si="18"/>
        <v>Standard Class</v>
      </c>
      <c r="AJ121" s="3" t="str">
        <f t="shared" si="19"/>
        <v>anomaly</v>
      </c>
      <c r="AK121">
        <f t="shared" si="20"/>
        <v>7</v>
      </c>
    </row>
    <row r="122" spans="1:37">
      <c r="A122" t="s">
        <v>692</v>
      </c>
      <c r="B122" t="s">
        <v>503</v>
      </c>
      <c r="C122" t="s">
        <v>693</v>
      </c>
      <c r="D122" t="s">
        <v>694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695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  <c r="W122" t="s">
        <v>692</v>
      </c>
      <c r="X122" t="str">
        <v>10-08-24</v>
      </c>
      <c r="Y122" t="str">
        <v>18-08-24</v>
      </c>
      <c r="Z122" t="s">
        <v>694</v>
      </c>
      <c r="AA122" t="str">
        <v>Sneha Kapoor</v>
      </c>
      <c r="AB122" t="str">
        <f t="shared" si="11"/>
        <v>Small Business</v>
      </c>
      <c r="AC122" t="str">
        <f t="shared" si="12"/>
        <v>East</v>
      </c>
      <c r="AD122" t="str">
        <f t="shared" si="13"/>
        <v>Bihar</v>
      </c>
      <c r="AE122" t="str">
        <f t="shared" si="14"/>
        <v>Patna</v>
      </c>
      <c r="AF122" t="str">
        <f t="shared" si="15"/>
        <v>Technology</v>
      </c>
      <c r="AG122" t="str">
        <f t="shared" si="16"/>
        <v>Phones</v>
      </c>
      <c r="AH122" t="str">
        <f t="shared" si="17"/>
        <v>Prime Phones 540</v>
      </c>
      <c r="AI122" t="str">
        <f t="shared" si="18"/>
        <v>Standard Class</v>
      </c>
      <c r="AJ122" s="3" t="str">
        <f t="shared" si="19"/>
        <v>anomaly</v>
      </c>
      <c r="AK122">
        <f t="shared" si="20"/>
        <v>8</v>
      </c>
    </row>
    <row r="123" spans="1:37">
      <c r="A123" t="s">
        <v>696</v>
      </c>
      <c r="B123" t="s">
        <v>697</v>
      </c>
      <c r="C123" t="s">
        <v>698</v>
      </c>
      <c r="D123" t="s">
        <v>699</v>
      </c>
      <c r="E123" t="s">
        <v>366</v>
      </c>
      <c r="F123" t="s">
        <v>700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701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  <c r="W123" t="s">
        <v>696</v>
      </c>
      <c r="X123" t="str">
        <v>invalid date</v>
      </c>
      <c r="Y123" t="str">
        <v>invalid date</v>
      </c>
      <c r="Z123" t="s">
        <v>699</v>
      </c>
      <c r="AA123" t="str">
        <v>Kabir Singh</v>
      </c>
      <c r="AB123" t="str">
        <f t="shared" si="11"/>
        <v>Small Business</v>
      </c>
      <c r="AC123" t="str">
        <f t="shared" si="12"/>
        <v>South</v>
      </c>
      <c r="AD123" t="str">
        <f t="shared" si="13"/>
        <v>Andhra Pradesh</v>
      </c>
      <c r="AE123" t="str">
        <f t="shared" si="14"/>
        <v>Vijayawada</v>
      </c>
      <c r="AF123" t="str">
        <f t="shared" si="15"/>
        <v>Technology</v>
      </c>
      <c r="AG123" t="str">
        <f t="shared" si="16"/>
        <v>Machines</v>
      </c>
      <c r="AH123" t="str">
        <f t="shared" si="17"/>
        <v>Max Machines 948</v>
      </c>
      <c r="AI123" t="str">
        <f t="shared" si="18"/>
        <v>Second Class</v>
      </c>
      <c r="AJ123" s="3" t="str">
        <f t="shared" si="19"/>
        <v>Invalid</v>
      </c>
      <c r="AK123" t="str">
        <f t="shared" si="20"/>
        <v>invalid date</v>
      </c>
    </row>
    <row r="124" spans="1:37">
      <c r="A124" t="s">
        <v>702</v>
      </c>
      <c r="B124" t="s">
        <v>703</v>
      </c>
      <c r="C124" t="s">
        <v>704</v>
      </c>
      <c r="D124" t="s">
        <v>705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706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  <c r="W124" t="s">
        <v>702</v>
      </c>
      <c r="X124" t="str">
        <v>invalid date</v>
      </c>
      <c r="Y124" t="str">
        <v>04-12-24</v>
      </c>
      <c r="Z124" t="s">
        <v>705</v>
      </c>
      <c r="AA124" t="str">
        <v>Ananya Rao</v>
      </c>
      <c r="AB124" t="str">
        <f t="shared" si="11"/>
        <v>Small Business</v>
      </c>
      <c r="AC124" t="str">
        <f t="shared" si="12"/>
        <v>East</v>
      </c>
      <c r="AD124" t="str">
        <f t="shared" si="13"/>
        <v>Assam</v>
      </c>
      <c r="AE124" t="str">
        <f t="shared" si="14"/>
        <v>Guwahati</v>
      </c>
      <c r="AF124" t="str">
        <f t="shared" si="15"/>
        <v>Furniture</v>
      </c>
      <c r="AG124" t="str">
        <f t="shared" si="16"/>
        <v>Chairs</v>
      </c>
      <c r="AH124" t="str">
        <f t="shared" si="17"/>
        <v>Max Chairs 786</v>
      </c>
      <c r="AI124" t="str">
        <f t="shared" si="18"/>
        <v>Second Class</v>
      </c>
      <c r="AJ124" s="3" t="str">
        <f t="shared" si="19"/>
        <v>Invalid</v>
      </c>
      <c r="AK124" t="str">
        <f t="shared" si="20"/>
        <v>invalid date</v>
      </c>
    </row>
    <row r="125" spans="1:37">
      <c r="A125" t="s">
        <v>707</v>
      </c>
      <c r="B125" t="s">
        <v>708</v>
      </c>
      <c r="C125" t="s">
        <v>709</v>
      </c>
      <c r="D125" t="s">
        <v>710</v>
      </c>
      <c r="E125" t="s">
        <v>168</v>
      </c>
      <c r="F125" t="s">
        <v>41</v>
      </c>
      <c r="G125" t="s">
        <v>711</v>
      </c>
      <c r="H125" t="s">
        <v>154</v>
      </c>
      <c r="I125" t="s">
        <v>155</v>
      </c>
      <c r="J125" t="s">
        <v>86</v>
      </c>
      <c r="K125" t="s">
        <v>94</v>
      </c>
      <c r="L125" t="s">
        <v>712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  <c r="W125" t="s">
        <v>707</v>
      </c>
      <c r="X125" t="str">
        <v>invalid date</v>
      </c>
      <c r="Y125" t="str">
        <v>25-05-24</v>
      </c>
      <c r="Z125" t="s">
        <v>710</v>
      </c>
      <c r="AA125" t="str">
        <v>Sneha Kapoor</v>
      </c>
      <c r="AB125" t="str">
        <f t="shared" si="11"/>
        <v>Small Business</v>
      </c>
      <c r="AC125" t="str">
        <f t="shared" si="12"/>
        <v>North</v>
      </c>
      <c r="AD125" t="str">
        <f t="shared" si="13"/>
        <v>Punjab</v>
      </c>
      <c r="AE125" t="str">
        <f t="shared" si="14"/>
        <v>Ludhiana</v>
      </c>
      <c r="AF125" t="str">
        <f t="shared" si="15"/>
        <v>Technology</v>
      </c>
      <c r="AG125" t="str">
        <f t="shared" si="16"/>
        <v>Copiers</v>
      </c>
      <c r="AH125" t="str">
        <f t="shared" si="17"/>
        <v>Max Copiers 970</v>
      </c>
      <c r="AI125" t="str">
        <f t="shared" si="18"/>
        <v>Same Day</v>
      </c>
      <c r="AJ125" s="3" t="str">
        <f t="shared" si="19"/>
        <v>Invalid</v>
      </c>
      <c r="AK125" t="str">
        <f t="shared" si="20"/>
        <v>invalid date</v>
      </c>
    </row>
    <row r="126" spans="1:37">
      <c r="A126" t="s">
        <v>713</v>
      </c>
      <c r="B126" t="s">
        <v>22</v>
      </c>
      <c r="C126" t="s">
        <v>714</v>
      </c>
      <c r="D126" t="s">
        <v>715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716</v>
      </c>
      <c r="M126" t="s">
        <v>67</v>
      </c>
      <c r="N126">
        <v>9</v>
      </c>
      <c r="O126">
        <v>465.06</v>
      </c>
      <c r="P126" s="5" t="s">
        <v>4117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  <c r="W126" t="s">
        <v>713</v>
      </c>
      <c r="X126" t="str">
        <v>21-07-24</v>
      </c>
      <c r="Y126" t="str">
        <v>invalid date</v>
      </c>
      <c r="Z126" t="s">
        <v>715</v>
      </c>
      <c r="AA126" t="str">
        <v>Isha Nair</v>
      </c>
      <c r="AB126" t="str">
        <f t="shared" si="11"/>
        <v>Corporate</v>
      </c>
      <c r="AC126" t="str">
        <f t="shared" si="12"/>
        <v>South</v>
      </c>
      <c r="AD126" t="str">
        <f t="shared" si="13"/>
        <v>Karnataka</v>
      </c>
      <c r="AE126" t="str">
        <f t="shared" si="14"/>
        <v>Bengaluru</v>
      </c>
      <c r="AF126" t="str">
        <f t="shared" si="15"/>
        <v>Technology</v>
      </c>
      <c r="AG126" t="str">
        <f t="shared" si="16"/>
        <v>Copiers</v>
      </c>
      <c r="AH126" t="str">
        <f t="shared" si="17"/>
        <v>Pro Copiers 769</v>
      </c>
      <c r="AI126" t="str">
        <f t="shared" si="18"/>
        <v>Standard Class</v>
      </c>
      <c r="AJ126" s="3" t="str">
        <f t="shared" si="19"/>
        <v>Invalid</v>
      </c>
      <c r="AK126" t="str">
        <f t="shared" si="20"/>
        <v>invalid date</v>
      </c>
    </row>
    <row r="127" spans="1:37">
      <c r="A127" t="s">
        <v>717</v>
      </c>
      <c r="B127" t="s">
        <v>718</v>
      </c>
      <c r="C127" t="s">
        <v>719</v>
      </c>
      <c r="D127" t="s">
        <v>720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721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  <c r="W127" t="s">
        <v>717</v>
      </c>
      <c r="X127" t="str">
        <v>17-07-25</v>
      </c>
      <c r="Y127" t="str">
        <v>18-07-25</v>
      </c>
      <c r="Z127" t="s">
        <v>720</v>
      </c>
      <c r="AA127" t="str">
        <v>Neha Gupta</v>
      </c>
      <c r="AB127" t="str">
        <f t="shared" si="11"/>
        <v>Small Business</v>
      </c>
      <c r="AC127" t="str">
        <f t="shared" si="12"/>
        <v>West</v>
      </c>
      <c r="AD127" t="str">
        <f t="shared" si="13"/>
        <v>Rajasthan</v>
      </c>
      <c r="AE127" t="str">
        <f t="shared" si="14"/>
        <v>Udaipur</v>
      </c>
      <c r="AF127" t="str">
        <f t="shared" si="15"/>
        <v>Furniture</v>
      </c>
      <c r="AG127" t="str">
        <f t="shared" si="16"/>
        <v>Tables</v>
      </c>
      <c r="AH127" t="str">
        <f t="shared" si="17"/>
        <v>Basic Tables 753</v>
      </c>
      <c r="AI127" t="str">
        <f t="shared" si="18"/>
        <v>Same Day</v>
      </c>
      <c r="AJ127" s="3" t="str">
        <f t="shared" si="19"/>
        <v>anomaly</v>
      </c>
      <c r="AK127">
        <f t="shared" si="20"/>
        <v>1</v>
      </c>
    </row>
    <row r="128" spans="1:37">
      <c r="A128" t="s">
        <v>722</v>
      </c>
      <c r="B128" t="s">
        <v>723</v>
      </c>
      <c r="C128" t="s">
        <v>724</v>
      </c>
      <c r="D128" t="s">
        <v>725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726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  <c r="W128" t="s">
        <v>722</v>
      </c>
      <c r="X128" t="str">
        <v>24-09-25</v>
      </c>
      <c r="Y128" t="str">
        <v>26-09-25</v>
      </c>
      <c r="Z128" t="s">
        <v>725</v>
      </c>
      <c r="AA128" t="str">
        <v>Priya Menon</v>
      </c>
      <c r="AB128" t="str">
        <f t="shared" si="11"/>
        <v>Corporate</v>
      </c>
      <c r="AC128" t="str">
        <f t="shared" si="12"/>
        <v>North</v>
      </c>
      <c r="AD128" t="str">
        <f t="shared" si="13"/>
        <v>Delhi</v>
      </c>
      <c r="AE128" t="str">
        <f t="shared" si="14"/>
        <v>New Delhi</v>
      </c>
      <c r="AF128" t="str">
        <f t="shared" si="15"/>
        <v>Technology</v>
      </c>
      <c r="AG128" t="str">
        <f t="shared" si="16"/>
        <v>Copiers</v>
      </c>
      <c r="AH128" t="str">
        <f t="shared" si="17"/>
        <v>Prime Copiers 651</v>
      </c>
      <c r="AI128" t="str">
        <f t="shared" si="18"/>
        <v>Standard Class</v>
      </c>
      <c r="AJ128" s="3" t="str">
        <f t="shared" si="19"/>
        <v>anomaly</v>
      </c>
      <c r="AK128">
        <f t="shared" si="20"/>
        <v>2</v>
      </c>
    </row>
    <row r="129" spans="1:37">
      <c r="A129" t="s">
        <v>727</v>
      </c>
      <c r="B129" t="s">
        <v>191</v>
      </c>
      <c r="C129" t="s">
        <v>728</v>
      </c>
      <c r="D129" t="s">
        <v>729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730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  <c r="W129" t="s">
        <v>727</v>
      </c>
      <c r="X129" t="str">
        <v>invalid date</v>
      </c>
      <c r="Y129" t="str">
        <v>26-01-25</v>
      </c>
      <c r="Z129" t="s">
        <v>729</v>
      </c>
      <c r="AA129" t="str">
        <v>Priya Menon</v>
      </c>
      <c r="AB129" t="str">
        <f t="shared" si="11"/>
        <v>Corporate</v>
      </c>
      <c r="AC129" t="str">
        <f t="shared" si="12"/>
        <v>West</v>
      </c>
      <c r="AD129" t="str">
        <f t="shared" si="13"/>
        <v>Madhya Pradesh</v>
      </c>
      <c r="AE129" t="str">
        <f t="shared" si="14"/>
        <v>Indore</v>
      </c>
      <c r="AF129" t="str">
        <f t="shared" si="15"/>
        <v>Office Supplies</v>
      </c>
      <c r="AG129" t="str">
        <f t="shared" si="16"/>
        <v>Storage</v>
      </c>
      <c r="AH129" t="str">
        <f t="shared" si="17"/>
        <v>Basic Storage 321</v>
      </c>
      <c r="AI129" t="str">
        <f t="shared" si="18"/>
        <v>Second Class</v>
      </c>
      <c r="AJ129" s="3" t="str">
        <f t="shared" si="19"/>
        <v>Invalid</v>
      </c>
      <c r="AK129" t="str">
        <f t="shared" si="20"/>
        <v>invalid date</v>
      </c>
    </row>
    <row r="130" spans="1:37">
      <c r="A130" t="s">
        <v>731</v>
      </c>
      <c r="B130" t="s">
        <v>732</v>
      </c>
      <c r="C130" t="s">
        <v>733</v>
      </c>
      <c r="D130" t="s">
        <v>734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735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  <c r="W130" t="s">
        <v>731</v>
      </c>
      <c r="X130" t="str">
        <v>13-12-24</v>
      </c>
      <c r="Y130" t="str">
        <v>16-12-24</v>
      </c>
      <c r="Z130" t="s">
        <v>734</v>
      </c>
      <c r="AA130" t="str">
        <v>Neha Gupta</v>
      </c>
      <c r="AB130" t="str">
        <f t="shared" si="11"/>
        <v>Small Business</v>
      </c>
      <c r="AC130" t="str">
        <f t="shared" si="12"/>
        <v>East</v>
      </c>
      <c r="AD130" t="str">
        <f t="shared" si="13"/>
        <v>Odisha</v>
      </c>
      <c r="AE130" t="str">
        <f t="shared" si="14"/>
        <v>Bhubaneswar</v>
      </c>
      <c r="AF130" t="str">
        <f t="shared" si="15"/>
        <v>Furniture</v>
      </c>
      <c r="AG130" t="str">
        <f t="shared" si="16"/>
        <v>Furnishings</v>
      </c>
      <c r="AH130" t="str">
        <f t="shared" si="17"/>
        <v>Prime Furnishings 710</v>
      </c>
      <c r="AI130" t="str">
        <f t="shared" si="18"/>
        <v>Standard Class</v>
      </c>
      <c r="AJ130" s="3" t="str">
        <f t="shared" si="19"/>
        <v>anomaly</v>
      </c>
      <c r="AK130">
        <f t="shared" si="20"/>
        <v>3</v>
      </c>
    </row>
    <row r="131" spans="1:37">
      <c r="A131" t="s">
        <v>736</v>
      </c>
      <c r="B131" t="s">
        <v>406</v>
      </c>
      <c r="C131" t="s">
        <v>737</v>
      </c>
      <c r="D131" t="s">
        <v>738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739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  <c r="W131" t="s">
        <v>736</v>
      </c>
      <c r="X131" t="str">
        <v>19-07-24</v>
      </c>
      <c r="Y131" t="str">
        <v>25-07-24</v>
      </c>
      <c r="Z131" t="s">
        <v>738</v>
      </c>
      <c r="AA131" t="str">
        <v>Isha Nair</v>
      </c>
      <c r="AB131" t="str">
        <f t="shared" ref="AB131:AB194" si="21">TRIM(PROPER(F:F))</f>
        <v>Small Business</v>
      </c>
      <c r="AC131" t="str">
        <f t="shared" ref="AC131:AC194" si="22">TRIM(PROPER(G:G))</f>
        <v>West</v>
      </c>
      <c r="AD131" t="str">
        <f t="shared" ref="AD131:AD194" si="23">TRIM(PROPER(H:H))</f>
        <v>Goa</v>
      </c>
      <c r="AE131" t="str">
        <f t="shared" ref="AE131:AE194" si="24">TRIM(PROPER(I:I))</f>
        <v>Panaji</v>
      </c>
      <c r="AF131" t="str">
        <f t="shared" ref="AF131:AF194" si="25">TRIM(PROPER(J:J))</f>
        <v>Office Supplies</v>
      </c>
      <c r="AG131" t="str">
        <f t="shared" ref="AG131:AG194" si="26">TRIM(PROPER(K:K))</f>
        <v>Binders</v>
      </c>
      <c r="AH131" t="str">
        <f t="shared" ref="AH131:AH194" si="27">TRIM(PROPER(L:L))</f>
        <v>Elite Binders 723</v>
      </c>
      <c r="AI131" t="str">
        <f t="shared" ref="AI131:AI194" si="28">TRIM(PROPER(M:M))</f>
        <v>Standard Class</v>
      </c>
      <c r="AJ131" s="3" t="str">
        <f t="shared" ref="AJ131:AJ194" si="29">IF(OR(X:X="Invalid Date",Y:Y="Invalid Date"),"Invalid",(IF(X:X&lt;Y:Y,"anomaly", "  ")))</f>
        <v>anomaly</v>
      </c>
      <c r="AK131">
        <f t="shared" ref="AK131:AK194" si="30">IFERROR(Y131-X131, "invalid date")</f>
        <v>6</v>
      </c>
    </row>
    <row r="132" spans="1:37">
      <c r="A132" t="s">
        <v>740</v>
      </c>
      <c r="B132" t="s">
        <v>741</v>
      </c>
      <c r="C132" t="s">
        <v>742</v>
      </c>
      <c r="D132" t="s">
        <v>743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744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  <c r="W132" t="s">
        <v>740</v>
      </c>
      <c r="X132" t="str">
        <v>27-01-24</v>
      </c>
      <c r="Y132" t="str">
        <v>02-02-24</v>
      </c>
      <c r="Z132" t="s">
        <v>743</v>
      </c>
      <c r="AA132" t="str">
        <v>Arjun Bose</v>
      </c>
      <c r="AB132" t="str">
        <f t="shared" si="21"/>
        <v>Consumer</v>
      </c>
      <c r="AC132" t="str">
        <f t="shared" si="22"/>
        <v>West</v>
      </c>
      <c r="AD132" t="str">
        <f t="shared" si="23"/>
        <v>Gujarat</v>
      </c>
      <c r="AE132" t="str">
        <f t="shared" si="24"/>
        <v>Ahmedabad</v>
      </c>
      <c r="AF132" t="str">
        <f t="shared" si="25"/>
        <v>Office Supplies</v>
      </c>
      <c r="AG132" t="str">
        <f t="shared" si="26"/>
        <v>Labels</v>
      </c>
      <c r="AH132" t="str">
        <f t="shared" si="27"/>
        <v>Smart Labels 878</v>
      </c>
      <c r="AI132" t="str">
        <f t="shared" si="28"/>
        <v>Same Day</v>
      </c>
      <c r="AJ132" s="3" t="str">
        <f t="shared" si="29"/>
        <v xml:space="preserve">  </v>
      </c>
      <c r="AK132">
        <f t="shared" si="30"/>
        <v>6</v>
      </c>
    </row>
    <row r="133" spans="1:37">
      <c r="A133" t="s">
        <v>745</v>
      </c>
      <c r="B133" t="s">
        <v>746</v>
      </c>
      <c r="C133" t="s">
        <v>747</v>
      </c>
      <c r="D133" t="s">
        <v>748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749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  <c r="W133" t="s">
        <v>745</v>
      </c>
      <c r="X133" t="str">
        <v>invalid date</v>
      </c>
      <c r="Y133" t="str">
        <v>04-10-25</v>
      </c>
      <c r="Z133" t="s">
        <v>748</v>
      </c>
      <c r="AA133" t="str">
        <v>Ananya Rao</v>
      </c>
      <c r="AB133" t="str">
        <f t="shared" si="21"/>
        <v>Home Office</v>
      </c>
      <c r="AC133" t="str">
        <f t="shared" si="22"/>
        <v>East</v>
      </c>
      <c r="AD133" t="str">
        <f t="shared" si="23"/>
        <v>Jharkhand</v>
      </c>
      <c r="AE133" t="str">
        <f t="shared" si="24"/>
        <v>Ranchi</v>
      </c>
      <c r="AF133" t="str">
        <f t="shared" si="25"/>
        <v>Office Supplies</v>
      </c>
      <c r="AG133" t="str">
        <f t="shared" si="26"/>
        <v>Paper</v>
      </c>
      <c r="AH133" t="str">
        <f t="shared" si="27"/>
        <v>Pro Paper 934</v>
      </c>
      <c r="AI133" t="str">
        <f t="shared" si="28"/>
        <v>Same Day</v>
      </c>
      <c r="AJ133" s="3" t="str">
        <f t="shared" si="29"/>
        <v>Invalid</v>
      </c>
      <c r="AK133" t="str">
        <f t="shared" si="30"/>
        <v>invalid date</v>
      </c>
    </row>
    <row r="134" spans="1:37">
      <c r="A134" t="s">
        <v>750</v>
      </c>
      <c r="B134" t="s">
        <v>751</v>
      </c>
      <c r="C134" t="s">
        <v>751</v>
      </c>
      <c r="D134" t="s">
        <v>752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753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  <c r="W134" t="s">
        <v>750</v>
      </c>
      <c r="X134" t="str">
        <v>04-11-24</v>
      </c>
      <c r="Y134" t="str">
        <v>04-11-24</v>
      </c>
      <c r="Z134" t="s">
        <v>752</v>
      </c>
      <c r="AA134" t="str">
        <v>Kabir Singh</v>
      </c>
      <c r="AB134" t="str">
        <f t="shared" si="21"/>
        <v>Corporate</v>
      </c>
      <c r="AC134" t="str">
        <f t="shared" si="22"/>
        <v>East</v>
      </c>
      <c r="AD134" t="str">
        <f t="shared" si="23"/>
        <v>Assam</v>
      </c>
      <c r="AE134" t="str">
        <f t="shared" si="24"/>
        <v>Guwahati</v>
      </c>
      <c r="AF134" t="str">
        <f t="shared" si="25"/>
        <v>Technology</v>
      </c>
      <c r="AG134" t="str">
        <f t="shared" si="26"/>
        <v>Machines</v>
      </c>
      <c r="AH134" t="str">
        <f t="shared" si="27"/>
        <v>Classic Machines 886</v>
      </c>
      <c r="AI134" t="str">
        <f t="shared" si="28"/>
        <v>First Class</v>
      </c>
      <c r="AJ134" s="3" t="str">
        <f t="shared" si="29"/>
        <v xml:space="preserve">  </v>
      </c>
      <c r="AK134">
        <f t="shared" si="30"/>
        <v>0</v>
      </c>
    </row>
    <row r="135" spans="1:37">
      <c r="A135" t="s">
        <v>754</v>
      </c>
      <c r="B135" t="s">
        <v>755</v>
      </c>
      <c r="C135" t="s">
        <v>756</v>
      </c>
      <c r="D135" t="s">
        <v>757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758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  <c r="W135" t="s">
        <v>754</v>
      </c>
      <c r="X135" t="str">
        <v>13-12-24</v>
      </c>
      <c r="Y135" t="str">
        <v>invalid date</v>
      </c>
      <c r="Z135" t="s">
        <v>757</v>
      </c>
      <c r="AA135" t="str">
        <v>Karan Malhotra</v>
      </c>
      <c r="AB135" t="str">
        <f t="shared" si="21"/>
        <v>Consumer</v>
      </c>
      <c r="AC135" t="str">
        <f t="shared" si="22"/>
        <v>West</v>
      </c>
      <c r="AD135" t="str">
        <f t="shared" si="23"/>
        <v>Goa</v>
      </c>
      <c r="AE135" t="str">
        <f t="shared" si="24"/>
        <v>Panaji</v>
      </c>
      <c r="AF135" t="str">
        <f t="shared" si="25"/>
        <v>Technology</v>
      </c>
      <c r="AG135" t="str">
        <f t="shared" si="26"/>
        <v>Phones</v>
      </c>
      <c r="AH135" t="str">
        <f t="shared" si="27"/>
        <v>Prime Phones 419</v>
      </c>
      <c r="AI135" t="str">
        <f t="shared" si="28"/>
        <v>Second Class</v>
      </c>
      <c r="AJ135" s="3" t="str">
        <f t="shared" si="29"/>
        <v>Invalid</v>
      </c>
      <c r="AK135" t="str">
        <f t="shared" si="30"/>
        <v>invalid date</v>
      </c>
    </row>
    <row r="136" spans="1:37">
      <c r="A136" t="s">
        <v>759</v>
      </c>
      <c r="B136" t="s">
        <v>760</v>
      </c>
      <c r="C136" t="s">
        <v>761</v>
      </c>
      <c r="D136" t="s">
        <v>762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763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  <c r="W136" t="s">
        <v>759</v>
      </c>
      <c r="X136" t="str">
        <v>invalid date</v>
      </c>
      <c r="Y136" t="str">
        <v>14-07-25</v>
      </c>
      <c r="Z136" t="s">
        <v>762</v>
      </c>
      <c r="AA136" t="str">
        <v>Vikram Iyer</v>
      </c>
      <c r="AB136" t="str">
        <f t="shared" si="21"/>
        <v>Home Office</v>
      </c>
      <c r="AC136" t="str">
        <f t="shared" si="22"/>
        <v>East</v>
      </c>
      <c r="AD136" t="str">
        <f t="shared" si="23"/>
        <v>West Bengal</v>
      </c>
      <c r="AE136" t="str">
        <f t="shared" si="24"/>
        <v>Kolkata</v>
      </c>
      <c r="AF136" t="str">
        <f t="shared" si="25"/>
        <v>Furniture</v>
      </c>
      <c r="AG136" t="str">
        <f t="shared" si="26"/>
        <v>Bookcases</v>
      </c>
      <c r="AH136" t="str">
        <f t="shared" si="27"/>
        <v>Elite Bookcases 266</v>
      </c>
      <c r="AI136" s="5" t="s">
        <v>4116</v>
      </c>
      <c r="AJ136" s="3" t="str">
        <f t="shared" si="29"/>
        <v>Invalid</v>
      </c>
      <c r="AK136" t="str">
        <f t="shared" si="30"/>
        <v>invalid date</v>
      </c>
    </row>
    <row r="137" spans="1:37">
      <c r="A137" t="s">
        <v>764</v>
      </c>
      <c r="B137" t="s">
        <v>765</v>
      </c>
      <c r="C137" t="s">
        <v>765</v>
      </c>
      <c r="D137" t="s">
        <v>766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767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  <c r="W137" t="s">
        <v>764</v>
      </c>
      <c r="X137" t="str">
        <v>24-08-25</v>
      </c>
      <c r="Y137" t="str">
        <v>24-08-25</v>
      </c>
      <c r="Z137" t="s">
        <v>766</v>
      </c>
      <c r="AA137" t="str">
        <v>Diya Patel</v>
      </c>
      <c r="AB137" t="str">
        <f t="shared" si="21"/>
        <v>Small Business</v>
      </c>
      <c r="AC137" t="str">
        <f t="shared" si="22"/>
        <v>South</v>
      </c>
      <c r="AD137" t="str">
        <f t="shared" si="23"/>
        <v>Kerala</v>
      </c>
      <c r="AE137" t="str">
        <f t="shared" si="24"/>
        <v>Kochi</v>
      </c>
      <c r="AF137" t="str">
        <f t="shared" si="25"/>
        <v>Furniture</v>
      </c>
      <c r="AG137" t="str">
        <f t="shared" si="26"/>
        <v>Bookcases</v>
      </c>
      <c r="AH137" t="str">
        <f t="shared" si="27"/>
        <v>Prime Bookcases 954</v>
      </c>
      <c r="AI137" t="str">
        <f t="shared" si="28"/>
        <v>Standard Class</v>
      </c>
      <c r="AJ137" s="3" t="str">
        <f t="shared" si="29"/>
        <v xml:space="preserve">  </v>
      </c>
      <c r="AK137">
        <f t="shared" si="30"/>
        <v>0</v>
      </c>
    </row>
    <row r="138" spans="1:37">
      <c r="A138" t="s">
        <v>768</v>
      </c>
      <c r="B138" t="s">
        <v>769</v>
      </c>
      <c r="C138" t="s">
        <v>770</v>
      </c>
      <c r="D138" t="s">
        <v>771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772</v>
      </c>
      <c r="M138" t="s">
        <v>773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  <c r="W138" t="s">
        <v>768</v>
      </c>
      <c r="X138" t="str">
        <v>09-02-25</v>
      </c>
      <c r="Y138" t="str">
        <v>15-02-25</v>
      </c>
      <c r="Z138" t="s">
        <v>771</v>
      </c>
      <c r="AA138" t="str">
        <v>Mira Das</v>
      </c>
      <c r="AB138" t="str">
        <f t="shared" si="21"/>
        <v>Home Office</v>
      </c>
      <c r="AC138" t="str">
        <f t="shared" si="22"/>
        <v>East</v>
      </c>
      <c r="AD138" t="str">
        <f t="shared" si="23"/>
        <v>Jharkhand</v>
      </c>
      <c r="AE138" t="str">
        <f t="shared" si="24"/>
        <v>Ranchi</v>
      </c>
      <c r="AF138" t="str">
        <f t="shared" si="25"/>
        <v>Office Supplies</v>
      </c>
      <c r="AG138" t="str">
        <f t="shared" si="26"/>
        <v>Binders</v>
      </c>
      <c r="AH138" t="str">
        <f t="shared" si="27"/>
        <v>Max Binders 362</v>
      </c>
      <c r="AI138" t="str">
        <f t="shared" si="28"/>
        <v>Standard Class</v>
      </c>
      <c r="AJ138" s="3" t="str">
        <f t="shared" si="29"/>
        <v>anomaly</v>
      </c>
      <c r="AK138">
        <f t="shared" si="30"/>
        <v>6</v>
      </c>
    </row>
    <row r="139" spans="1:37">
      <c r="A139" t="s">
        <v>774</v>
      </c>
      <c r="B139" t="s">
        <v>775</v>
      </c>
      <c r="C139" t="s">
        <v>776</v>
      </c>
      <c r="D139" t="s">
        <v>777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778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  <c r="W139" t="s">
        <v>774</v>
      </c>
      <c r="X139" t="str">
        <v>01-09-25</v>
      </c>
      <c r="Y139" t="str">
        <v>09-01-25</v>
      </c>
      <c r="Z139" t="s">
        <v>777</v>
      </c>
      <c r="AA139" t="str">
        <v>Sneha Kapoor</v>
      </c>
      <c r="AB139" t="str">
        <f t="shared" si="21"/>
        <v>Small Business</v>
      </c>
      <c r="AC139" t="str">
        <f t="shared" si="22"/>
        <v>North</v>
      </c>
      <c r="AD139" t="str">
        <f t="shared" si="23"/>
        <v>Rajasthan</v>
      </c>
      <c r="AE139" t="str">
        <f t="shared" si="24"/>
        <v>Jaipur</v>
      </c>
      <c r="AF139" t="str">
        <f t="shared" si="25"/>
        <v>Furniture</v>
      </c>
      <c r="AG139" t="str">
        <f t="shared" si="26"/>
        <v>Chairs</v>
      </c>
      <c r="AH139" t="str">
        <f t="shared" si="27"/>
        <v>Prime Chairs 261</v>
      </c>
      <c r="AI139" t="str">
        <f t="shared" si="28"/>
        <v>Same Day</v>
      </c>
      <c r="AJ139" s="3" t="str">
        <f t="shared" si="29"/>
        <v>anomaly</v>
      </c>
      <c r="AK139">
        <f t="shared" si="30"/>
        <v>-235</v>
      </c>
    </row>
    <row r="140" spans="1:37">
      <c r="A140" t="s">
        <v>779</v>
      </c>
      <c r="B140" t="s">
        <v>780</v>
      </c>
      <c r="C140" t="s">
        <v>781</v>
      </c>
      <c r="D140" t="s">
        <v>782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783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  <c r="W140" t="s">
        <v>779</v>
      </c>
      <c r="X140" t="str">
        <v>20-01-24</v>
      </c>
      <c r="Y140" t="str">
        <v>26-01-24</v>
      </c>
      <c r="Z140" t="s">
        <v>782</v>
      </c>
      <c r="AA140" t="str">
        <v>Diya Patel</v>
      </c>
      <c r="AB140" t="str">
        <f t="shared" si="21"/>
        <v>Home Office</v>
      </c>
      <c r="AC140" t="str">
        <f t="shared" si="22"/>
        <v>East</v>
      </c>
      <c r="AD140" t="str">
        <f t="shared" si="23"/>
        <v>Jharkhand</v>
      </c>
      <c r="AE140" t="str">
        <f t="shared" si="24"/>
        <v>Ranchi</v>
      </c>
      <c r="AF140" t="str">
        <f t="shared" si="25"/>
        <v>Technology</v>
      </c>
      <c r="AG140" t="str">
        <f t="shared" si="26"/>
        <v>Machines</v>
      </c>
      <c r="AH140" t="str">
        <f t="shared" si="27"/>
        <v>Basic Machines 185</v>
      </c>
      <c r="AI140" t="str">
        <f t="shared" si="28"/>
        <v>Standard Class</v>
      </c>
      <c r="AJ140" s="3" t="str">
        <f t="shared" si="29"/>
        <v>anomaly</v>
      </c>
      <c r="AK140">
        <f t="shared" si="30"/>
        <v>6</v>
      </c>
    </row>
    <row r="141" spans="1:37">
      <c r="A141" t="s">
        <v>784</v>
      </c>
      <c r="B141" t="s">
        <v>785</v>
      </c>
      <c r="C141" t="s">
        <v>786</v>
      </c>
      <c r="D141" t="s">
        <v>787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788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  <c r="W141" t="s">
        <v>784</v>
      </c>
      <c r="X141" t="str">
        <v>03-02-25</v>
      </c>
      <c r="Y141" t="str">
        <v>07-03-25</v>
      </c>
      <c r="Z141" t="s">
        <v>787</v>
      </c>
      <c r="AA141" t="str">
        <v>Neha Gupta</v>
      </c>
      <c r="AB141" t="str">
        <f t="shared" si="21"/>
        <v>Home Office</v>
      </c>
      <c r="AC141" t="str">
        <f t="shared" si="22"/>
        <v>South</v>
      </c>
      <c r="AD141" t="str">
        <f t="shared" si="23"/>
        <v>Karnataka</v>
      </c>
      <c r="AE141" t="str">
        <f t="shared" si="24"/>
        <v>Bengaluru</v>
      </c>
      <c r="AF141" t="str">
        <f t="shared" si="25"/>
        <v>Office Supplies</v>
      </c>
      <c r="AG141" t="str">
        <f t="shared" si="26"/>
        <v>Labels</v>
      </c>
      <c r="AH141" t="str">
        <f t="shared" si="27"/>
        <v>Basic Labels 509</v>
      </c>
      <c r="AI141" t="str">
        <f t="shared" si="28"/>
        <v>Standard Class</v>
      </c>
      <c r="AJ141" s="3" t="str">
        <f t="shared" si="29"/>
        <v>anomaly</v>
      </c>
      <c r="AK141">
        <f t="shared" si="30"/>
        <v>32</v>
      </c>
    </row>
    <row r="142" spans="1:37">
      <c r="A142" t="s">
        <v>789</v>
      </c>
      <c r="B142" t="s">
        <v>790</v>
      </c>
      <c r="C142" t="s">
        <v>791</v>
      </c>
      <c r="D142" t="s">
        <v>792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793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  <c r="W142" t="s">
        <v>789</v>
      </c>
      <c r="X142" t="str">
        <v>31-05-24</v>
      </c>
      <c r="Y142" t="str">
        <v>01-06-24</v>
      </c>
      <c r="Z142" t="s">
        <v>792</v>
      </c>
      <c r="AA142" t="str">
        <v>Mira Das</v>
      </c>
      <c r="AB142" t="str">
        <f t="shared" si="21"/>
        <v>Corporate</v>
      </c>
      <c r="AC142" t="str">
        <f t="shared" si="22"/>
        <v>South</v>
      </c>
      <c r="AD142" t="str">
        <f t="shared" si="23"/>
        <v>Karnataka</v>
      </c>
      <c r="AE142" t="str">
        <f t="shared" si="24"/>
        <v>Bengaluru</v>
      </c>
      <c r="AF142" t="str">
        <f t="shared" si="25"/>
        <v>Furniture</v>
      </c>
      <c r="AG142" t="str">
        <f t="shared" si="26"/>
        <v>Bookcases</v>
      </c>
      <c r="AH142" t="str">
        <f t="shared" si="27"/>
        <v>Elite Bookcases 696</v>
      </c>
      <c r="AI142" t="str">
        <f t="shared" si="28"/>
        <v>Same Day</v>
      </c>
      <c r="AJ142" s="3" t="str">
        <f t="shared" si="29"/>
        <v xml:space="preserve">  </v>
      </c>
      <c r="AK142">
        <f t="shared" si="30"/>
        <v>1</v>
      </c>
    </row>
    <row r="143" spans="1:37">
      <c r="A143" t="s">
        <v>794</v>
      </c>
      <c r="B143" t="s">
        <v>795</v>
      </c>
      <c r="C143" t="s">
        <v>796</v>
      </c>
      <c r="D143" t="s">
        <v>797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798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  <c r="W143" t="s">
        <v>794</v>
      </c>
      <c r="X143" t="str">
        <v>invalid date</v>
      </c>
      <c r="Y143" t="str">
        <v>29-03-24</v>
      </c>
      <c r="Z143" t="s">
        <v>797</v>
      </c>
      <c r="AA143" t="str">
        <v>Priya Menon</v>
      </c>
      <c r="AB143" t="str">
        <f t="shared" si="21"/>
        <v>Corporate</v>
      </c>
      <c r="AC143" t="str">
        <f t="shared" si="22"/>
        <v>North</v>
      </c>
      <c r="AD143" t="str">
        <f t="shared" si="23"/>
        <v>Delhi</v>
      </c>
      <c r="AE143" t="str">
        <f t="shared" si="24"/>
        <v>New Delhi</v>
      </c>
      <c r="AF143" t="str">
        <f t="shared" si="25"/>
        <v>Furniture</v>
      </c>
      <c r="AG143" t="str">
        <f t="shared" si="26"/>
        <v>Bookcases</v>
      </c>
      <c r="AH143" t="str">
        <f t="shared" si="27"/>
        <v>Elite Bookcases 772</v>
      </c>
      <c r="AI143" t="str">
        <f t="shared" si="28"/>
        <v>Same Day</v>
      </c>
      <c r="AJ143" s="3" t="str">
        <f t="shared" si="29"/>
        <v>Invalid</v>
      </c>
      <c r="AK143" t="str">
        <f t="shared" si="30"/>
        <v>invalid date</v>
      </c>
    </row>
    <row r="144" spans="1:37">
      <c r="A144" t="s">
        <v>799</v>
      </c>
      <c r="B144" t="s">
        <v>800</v>
      </c>
      <c r="C144" t="s">
        <v>801</v>
      </c>
      <c r="D144" t="s">
        <v>802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803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  <c r="W144" t="s">
        <v>799</v>
      </c>
      <c r="X144" t="str">
        <v>30-03-24</v>
      </c>
      <c r="Y144" t="str">
        <v>26-03-24</v>
      </c>
      <c r="Z144" t="s">
        <v>802</v>
      </c>
      <c r="AA144" t="str">
        <v>Aditi Sen</v>
      </c>
      <c r="AB144" t="str">
        <f t="shared" si="21"/>
        <v>Home Office</v>
      </c>
      <c r="AC144" t="str">
        <f t="shared" si="22"/>
        <v>North</v>
      </c>
      <c r="AD144" t="str">
        <f t="shared" si="23"/>
        <v>Rajasthan</v>
      </c>
      <c r="AE144" t="str">
        <f t="shared" si="24"/>
        <v>Jaipur</v>
      </c>
      <c r="AF144" t="str">
        <f t="shared" si="25"/>
        <v>Technology</v>
      </c>
      <c r="AG144" t="str">
        <f t="shared" si="26"/>
        <v>Phones</v>
      </c>
      <c r="AH144" t="str">
        <f t="shared" si="27"/>
        <v>Classic Phones 142</v>
      </c>
      <c r="AI144" t="str">
        <f t="shared" si="28"/>
        <v>Second Class</v>
      </c>
      <c r="AJ144" s="3" t="str">
        <f t="shared" si="29"/>
        <v xml:space="preserve">  </v>
      </c>
      <c r="AK144">
        <f t="shared" si="30"/>
        <v>-4</v>
      </c>
    </row>
    <row r="145" spans="1:37">
      <c r="A145" t="s">
        <v>804</v>
      </c>
      <c r="B145" t="s">
        <v>542</v>
      </c>
      <c r="C145" t="s">
        <v>805</v>
      </c>
      <c r="D145" t="s">
        <v>806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807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  <c r="W145" t="s">
        <v>804</v>
      </c>
      <c r="X145" t="str">
        <v>invalid date</v>
      </c>
      <c r="Y145" t="str">
        <v>26-03-24</v>
      </c>
      <c r="Z145" t="s">
        <v>806</v>
      </c>
      <c r="AA145" t="str">
        <v>Priya Menon</v>
      </c>
      <c r="AB145" t="str">
        <f t="shared" si="21"/>
        <v>Consumer</v>
      </c>
      <c r="AC145" t="str">
        <f t="shared" si="22"/>
        <v>West</v>
      </c>
      <c r="AD145" t="str">
        <f t="shared" si="23"/>
        <v>Gujarat</v>
      </c>
      <c r="AE145" t="str">
        <f t="shared" si="24"/>
        <v>Ahmedabad</v>
      </c>
      <c r="AF145" t="str">
        <f t="shared" si="25"/>
        <v>Office Supplies</v>
      </c>
      <c r="AG145" t="str">
        <f t="shared" si="26"/>
        <v>Paper</v>
      </c>
      <c r="AH145" t="str">
        <f t="shared" si="27"/>
        <v>Pro Paper 575</v>
      </c>
      <c r="AI145" t="str">
        <f t="shared" si="28"/>
        <v>Second Class</v>
      </c>
      <c r="AJ145" s="3" t="str">
        <f t="shared" si="29"/>
        <v>Invalid</v>
      </c>
      <c r="AK145" t="str">
        <f t="shared" si="30"/>
        <v>invalid date</v>
      </c>
    </row>
    <row r="146" spans="1:37">
      <c r="A146" t="s">
        <v>808</v>
      </c>
      <c r="B146" t="s">
        <v>578</v>
      </c>
      <c r="C146" t="s">
        <v>809</v>
      </c>
      <c r="D146" t="s">
        <v>810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811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  <c r="W146" t="s">
        <v>808</v>
      </c>
      <c r="X146" t="str">
        <v>07-06-24</v>
      </c>
      <c r="Y146" t="str">
        <v>15-06-24</v>
      </c>
      <c r="Z146" t="s">
        <v>810</v>
      </c>
      <c r="AA146" t="str">
        <v>Kabir Singh</v>
      </c>
      <c r="AB146" t="str">
        <f t="shared" si="21"/>
        <v>Small Business</v>
      </c>
      <c r="AC146" t="str">
        <f t="shared" si="22"/>
        <v>South</v>
      </c>
      <c r="AD146" t="str">
        <f t="shared" si="23"/>
        <v>Telangana</v>
      </c>
      <c r="AE146" t="str">
        <f t="shared" si="24"/>
        <v>Hyderabad</v>
      </c>
      <c r="AF146" t="str">
        <f t="shared" si="25"/>
        <v>Technology</v>
      </c>
      <c r="AG146" t="str">
        <f t="shared" si="26"/>
        <v>Accessories</v>
      </c>
      <c r="AH146" t="str">
        <f t="shared" si="27"/>
        <v>Elite Accessories 905</v>
      </c>
      <c r="AI146" t="str">
        <f t="shared" si="28"/>
        <v>First Class</v>
      </c>
      <c r="AJ146" s="3" t="str">
        <f t="shared" si="29"/>
        <v>anomaly</v>
      </c>
      <c r="AK146">
        <f t="shared" si="30"/>
        <v>8</v>
      </c>
    </row>
    <row r="147" spans="1:37">
      <c r="A147" t="s">
        <v>812</v>
      </c>
      <c r="B147" t="s">
        <v>813</v>
      </c>
      <c r="C147" t="s">
        <v>814</v>
      </c>
      <c r="D147" t="s">
        <v>815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816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  <c r="W147" t="s">
        <v>812</v>
      </c>
      <c r="X147" t="str">
        <v>11-04-25</v>
      </c>
      <c r="Y147" t="str">
        <v>invalid date</v>
      </c>
      <c r="Z147" t="s">
        <v>815</v>
      </c>
      <c r="AA147" t="str">
        <v>Mira Das</v>
      </c>
      <c r="AB147" t="str">
        <f t="shared" si="21"/>
        <v>Small Business</v>
      </c>
      <c r="AC147" t="str">
        <f t="shared" si="22"/>
        <v>West</v>
      </c>
      <c r="AD147" t="str">
        <f t="shared" si="23"/>
        <v>Goa</v>
      </c>
      <c r="AE147" t="str">
        <f t="shared" si="24"/>
        <v>Panaji</v>
      </c>
      <c r="AF147" t="str">
        <f t="shared" si="25"/>
        <v>Office Supplies</v>
      </c>
      <c r="AG147" t="str">
        <f t="shared" si="26"/>
        <v>Paper</v>
      </c>
      <c r="AH147" t="str">
        <f t="shared" si="27"/>
        <v>Smart Paper 899</v>
      </c>
      <c r="AI147" t="str">
        <f t="shared" si="28"/>
        <v>Standard Class</v>
      </c>
      <c r="AJ147" s="3" t="str">
        <f t="shared" si="29"/>
        <v>Invalid</v>
      </c>
      <c r="AK147" t="str">
        <f t="shared" si="30"/>
        <v>invalid date</v>
      </c>
    </row>
    <row r="148" spans="1:37">
      <c r="A148" t="s">
        <v>817</v>
      </c>
      <c r="B148" t="s">
        <v>818</v>
      </c>
      <c r="C148" t="s">
        <v>819</v>
      </c>
      <c r="D148" t="s">
        <v>820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821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  <c r="W148" t="s">
        <v>817</v>
      </c>
      <c r="X148" t="str">
        <v>30-07-25</v>
      </c>
      <c r="Y148" t="str">
        <v>08-01-25</v>
      </c>
      <c r="Z148" t="s">
        <v>820</v>
      </c>
      <c r="AA148" t="str">
        <v>Sneha Kapoor</v>
      </c>
      <c r="AB148" t="str">
        <f t="shared" si="21"/>
        <v>Small Business</v>
      </c>
      <c r="AC148" t="str">
        <f t="shared" si="22"/>
        <v>South</v>
      </c>
      <c r="AD148" t="str">
        <f t="shared" si="23"/>
        <v>Tamil Nadu</v>
      </c>
      <c r="AE148" t="str">
        <f t="shared" si="24"/>
        <v>Chennai</v>
      </c>
      <c r="AF148" t="str">
        <f t="shared" si="25"/>
        <v>Office Supplies</v>
      </c>
      <c r="AG148" t="str">
        <f t="shared" si="26"/>
        <v>Storage</v>
      </c>
      <c r="AH148" t="str">
        <f t="shared" si="27"/>
        <v>Classic Storage 423</v>
      </c>
      <c r="AI148" t="str">
        <f t="shared" si="28"/>
        <v>Same Day</v>
      </c>
      <c r="AJ148" s="3" t="str">
        <f t="shared" si="29"/>
        <v xml:space="preserve">  </v>
      </c>
      <c r="AK148">
        <f t="shared" si="30"/>
        <v>-203</v>
      </c>
    </row>
    <row r="149" spans="1:37">
      <c r="A149" t="s">
        <v>822</v>
      </c>
      <c r="B149" t="s">
        <v>823</v>
      </c>
      <c r="C149" t="s">
        <v>824</v>
      </c>
      <c r="D149" t="s">
        <v>825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826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  <c r="W149" t="s">
        <v>822</v>
      </c>
      <c r="X149" t="str">
        <v>23-12-24</v>
      </c>
      <c r="Y149" t="str">
        <v>30-12-24</v>
      </c>
      <c r="Z149" t="s">
        <v>825</v>
      </c>
      <c r="AA149" t="str">
        <v>Priya Menon</v>
      </c>
      <c r="AB149" t="str">
        <f t="shared" si="21"/>
        <v>Home Office</v>
      </c>
      <c r="AC149" t="str">
        <f t="shared" si="22"/>
        <v>West</v>
      </c>
      <c r="AD149" t="str">
        <f t="shared" si="23"/>
        <v>Goa</v>
      </c>
      <c r="AE149" t="str">
        <f t="shared" si="24"/>
        <v>Panaji</v>
      </c>
      <c r="AF149" t="str">
        <f t="shared" si="25"/>
        <v>Furniture</v>
      </c>
      <c r="AG149" t="str">
        <f t="shared" si="26"/>
        <v>Furnishings</v>
      </c>
      <c r="AH149" t="str">
        <f t="shared" si="27"/>
        <v>Classic Furnishings 743</v>
      </c>
      <c r="AI149" t="str">
        <f t="shared" si="28"/>
        <v>First Class</v>
      </c>
      <c r="AJ149" s="3" t="str">
        <f t="shared" si="29"/>
        <v>anomaly</v>
      </c>
      <c r="AK149">
        <f t="shared" si="30"/>
        <v>7</v>
      </c>
    </row>
    <row r="150" spans="1:37">
      <c r="A150" t="s">
        <v>827</v>
      </c>
      <c r="B150" t="s">
        <v>828</v>
      </c>
      <c r="C150" t="s">
        <v>829</v>
      </c>
      <c r="D150" t="s">
        <v>830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831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  <c r="W150" t="s">
        <v>827</v>
      </c>
      <c r="X150" t="str">
        <v>09-02-25</v>
      </c>
      <c r="Y150" t="str">
        <v>13-02-25</v>
      </c>
      <c r="Z150" t="s">
        <v>830</v>
      </c>
      <c r="AA150" t="str">
        <v>Mira Das</v>
      </c>
      <c r="AB150" t="str">
        <f t="shared" si="21"/>
        <v>Home Office</v>
      </c>
      <c r="AC150" t="str">
        <f t="shared" si="22"/>
        <v>West</v>
      </c>
      <c r="AD150" t="str">
        <f t="shared" si="23"/>
        <v>Madhya Pradesh</v>
      </c>
      <c r="AE150" t="str">
        <f t="shared" si="24"/>
        <v>Indore</v>
      </c>
      <c r="AF150" t="str">
        <f t="shared" si="25"/>
        <v>Technology</v>
      </c>
      <c r="AG150" t="str">
        <f t="shared" si="26"/>
        <v>Phones</v>
      </c>
      <c r="AH150" t="str">
        <f t="shared" si="27"/>
        <v>Smart Phones 336</v>
      </c>
      <c r="AI150" s="5" t="s">
        <v>4116</v>
      </c>
      <c r="AJ150" s="3" t="str">
        <f t="shared" si="29"/>
        <v>anomaly</v>
      </c>
      <c r="AK150">
        <f t="shared" si="30"/>
        <v>4</v>
      </c>
    </row>
    <row r="151" spans="1:37">
      <c r="A151" t="s">
        <v>832</v>
      </c>
      <c r="B151" t="s">
        <v>833</v>
      </c>
      <c r="C151" t="s">
        <v>833</v>
      </c>
      <c r="D151" t="s">
        <v>834</v>
      </c>
      <c r="E151" t="s">
        <v>162</v>
      </c>
      <c r="F151" t="s">
        <v>41</v>
      </c>
      <c r="G151" t="s">
        <v>835</v>
      </c>
      <c r="H151" t="s">
        <v>28</v>
      </c>
      <c r="I151" t="s">
        <v>135</v>
      </c>
      <c r="J151" t="s">
        <v>86</v>
      </c>
      <c r="K151" t="s">
        <v>94</v>
      </c>
      <c r="L151" t="s">
        <v>836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  <c r="W151" t="s">
        <v>832</v>
      </c>
      <c r="X151" t="str">
        <v>30-01-24</v>
      </c>
      <c r="Y151" t="str">
        <v>30-01-24</v>
      </c>
      <c r="Z151" t="s">
        <v>834</v>
      </c>
      <c r="AA151" t="str">
        <v>Aarav Sharma</v>
      </c>
      <c r="AB151" t="str">
        <f t="shared" si="21"/>
        <v>Small Business</v>
      </c>
      <c r="AC151" t="str">
        <f t="shared" si="22"/>
        <v>West</v>
      </c>
      <c r="AD151" t="str">
        <f t="shared" si="23"/>
        <v>Rajasthan</v>
      </c>
      <c r="AE151" t="str">
        <f t="shared" si="24"/>
        <v>Udaipur</v>
      </c>
      <c r="AF151" t="str">
        <f t="shared" si="25"/>
        <v>Technology</v>
      </c>
      <c r="AG151" t="str">
        <f t="shared" si="26"/>
        <v>Copiers</v>
      </c>
      <c r="AH151" t="str">
        <f t="shared" si="27"/>
        <v>Eco Copiers 381</v>
      </c>
      <c r="AI151" t="str">
        <f t="shared" si="28"/>
        <v>Same Day</v>
      </c>
      <c r="AJ151" s="3" t="str">
        <f t="shared" si="29"/>
        <v xml:space="preserve">  </v>
      </c>
      <c r="AK151">
        <f t="shared" si="30"/>
        <v>0</v>
      </c>
    </row>
    <row r="152" spans="1:37">
      <c r="A152" t="s">
        <v>837</v>
      </c>
      <c r="B152" t="s">
        <v>838</v>
      </c>
      <c r="C152" t="s">
        <v>839</v>
      </c>
      <c r="D152" t="s">
        <v>840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841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  <c r="W152" t="s">
        <v>837</v>
      </c>
      <c r="X152" t="str">
        <v>04-03-24</v>
      </c>
      <c r="Y152" t="str">
        <v>12-03-24</v>
      </c>
      <c r="Z152" t="s">
        <v>840</v>
      </c>
      <c r="AA152" t="str">
        <v>Arjun Bose</v>
      </c>
      <c r="AB152" t="str">
        <f t="shared" si="21"/>
        <v>Consumer</v>
      </c>
      <c r="AC152" s="5" t="s">
        <v>4116</v>
      </c>
      <c r="AD152" t="str">
        <f t="shared" si="23"/>
        <v>Gujarat</v>
      </c>
      <c r="AE152" t="str">
        <f t="shared" si="24"/>
        <v>Ahmedabad</v>
      </c>
      <c r="AF152" t="str">
        <f t="shared" si="25"/>
        <v>Furniture</v>
      </c>
      <c r="AG152" t="str">
        <f t="shared" si="26"/>
        <v>Bookcases</v>
      </c>
      <c r="AH152" t="str">
        <f t="shared" si="27"/>
        <v>Max Bookcases 595</v>
      </c>
      <c r="AI152" t="str">
        <f t="shared" si="28"/>
        <v>First Class</v>
      </c>
      <c r="AJ152" s="3" t="str">
        <f t="shared" si="29"/>
        <v>anomaly</v>
      </c>
      <c r="AK152">
        <f t="shared" si="30"/>
        <v>8</v>
      </c>
    </row>
    <row r="153" spans="1:37">
      <c r="A153" t="s">
        <v>842</v>
      </c>
      <c r="B153" t="s">
        <v>843</v>
      </c>
      <c r="C153" t="s">
        <v>844</v>
      </c>
      <c r="D153" t="s">
        <v>845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846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  <c r="W153" t="s">
        <v>842</v>
      </c>
      <c r="X153" t="str">
        <v>27-06-24</v>
      </c>
      <c r="Y153" t="str">
        <v>invalid date</v>
      </c>
      <c r="Z153" t="s">
        <v>845</v>
      </c>
      <c r="AA153" t="str">
        <v>Neha Gupta</v>
      </c>
      <c r="AB153" t="str">
        <f t="shared" si="21"/>
        <v>Home Office</v>
      </c>
      <c r="AC153" s="5" t="s">
        <v>4116</v>
      </c>
      <c r="AD153" t="str">
        <f t="shared" si="23"/>
        <v>Madhya Pradesh</v>
      </c>
      <c r="AE153" t="str">
        <f t="shared" si="24"/>
        <v>Indore</v>
      </c>
      <c r="AF153" t="str">
        <f t="shared" si="25"/>
        <v>Technology</v>
      </c>
      <c r="AG153" t="str">
        <f t="shared" si="26"/>
        <v>Copiers</v>
      </c>
      <c r="AH153" t="str">
        <f t="shared" si="27"/>
        <v>Max Copiers 992</v>
      </c>
      <c r="AI153" t="str">
        <f t="shared" si="28"/>
        <v>Standard Class</v>
      </c>
      <c r="AJ153" s="3" t="str">
        <f t="shared" si="29"/>
        <v>Invalid</v>
      </c>
      <c r="AK153" t="str">
        <f t="shared" si="30"/>
        <v>invalid date</v>
      </c>
    </row>
    <row r="154" spans="1:37">
      <c r="A154" t="s">
        <v>847</v>
      </c>
      <c r="B154" t="s">
        <v>848</v>
      </c>
      <c r="C154" t="s">
        <v>849</v>
      </c>
      <c r="D154" t="s">
        <v>850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851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  <c r="W154" t="s">
        <v>847</v>
      </c>
      <c r="X154" t="str">
        <v>14-06-24</v>
      </c>
      <c r="Y154" t="str">
        <v>invalid date</v>
      </c>
      <c r="Z154" t="s">
        <v>850</v>
      </c>
      <c r="AA154" t="str">
        <v>Kabir Singh</v>
      </c>
      <c r="AB154" t="str">
        <f t="shared" si="21"/>
        <v>Small Business</v>
      </c>
      <c r="AC154" t="str">
        <f t="shared" si="22"/>
        <v>South</v>
      </c>
      <c r="AD154" t="str">
        <f t="shared" si="23"/>
        <v>Kerala</v>
      </c>
      <c r="AE154" t="str">
        <f t="shared" si="24"/>
        <v>Kochi</v>
      </c>
      <c r="AF154" t="str">
        <f t="shared" si="25"/>
        <v>Furniture</v>
      </c>
      <c r="AG154" t="str">
        <f t="shared" si="26"/>
        <v>Tables</v>
      </c>
      <c r="AH154" t="str">
        <f t="shared" si="27"/>
        <v>Pro Tables 407</v>
      </c>
      <c r="AI154" t="str">
        <f t="shared" si="28"/>
        <v>Second Class</v>
      </c>
      <c r="AJ154" s="3" t="str">
        <f t="shared" si="29"/>
        <v>Invalid</v>
      </c>
      <c r="AK154" t="str">
        <f t="shared" si="30"/>
        <v>invalid date</v>
      </c>
    </row>
    <row r="155" spans="1:37">
      <c r="A155" t="s">
        <v>852</v>
      </c>
      <c r="B155" t="s">
        <v>853</v>
      </c>
      <c r="C155" t="s">
        <v>854</v>
      </c>
      <c r="D155" t="s">
        <v>855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856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  <c r="W155" t="s">
        <v>852</v>
      </c>
      <c r="X155" t="str">
        <v>23-09-25</v>
      </c>
      <c r="Y155" t="str">
        <v>25-09-25</v>
      </c>
      <c r="Z155" t="s">
        <v>855</v>
      </c>
      <c r="AA155" t="str">
        <v>Aditi Sen</v>
      </c>
      <c r="AB155" t="str">
        <f t="shared" si="21"/>
        <v>Consumer</v>
      </c>
      <c r="AC155" t="str">
        <f t="shared" si="22"/>
        <v>East</v>
      </c>
      <c r="AD155" t="str">
        <f t="shared" si="23"/>
        <v>Odisha</v>
      </c>
      <c r="AE155" t="str">
        <f t="shared" si="24"/>
        <v>Bhubaneswar</v>
      </c>
      <c r="AF155" t="str">
        <f t="shared" si="25"/>
        <v>Office Supplies</v>
      </c>
      <c r="AG155" t="str">
        <f t="shared" si="26"/>
        <v>Labels</v>
      </c>
      <c r="AH155" t="str">
        <f t="shared" si="27"/>
        <v>Prime Labels 559</v>
      </c>
      <c r="AI155" t="str">
        <f t="shared" si="28"/>
        <v>Standard Class</v>
      </c>
      <c r="AJ155" s="3" t="str">
        <f t="shared" si="29"/>
        <v>anomaly</v>
      </c>
      <c r="AK155">
        <f t="shared" si="30"/>
        <v>2</v>
      </c>
    </row>
    <row r="156" spans="1:37">
      <c r="A156" t="s">
        <v>857</v>
      </c>
      <c r="B156" t="s">
        <v>858</v>
      </c>
      <c r="C156" t="s">
        <v>859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860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  <c r="W156" t="s">
        <v>857</v>
      </c>
      <c r="X156" t="str">
        <v>12-02-24</v>
      </c>
      <c r="Y156" t="str">
        <v>02-11-24</v>
      </c>
      <c r="Z156" t="s">
        <v>669</v>
      </c>
      <c r="AA156" t="str">
        <v>Priya Menon</v>
      </c>
      <c r="AB156" t="str">
        <f t="shared" si="21"/>
        <v>Consumer</v>
      </c>
      <c r="AC156" t="str">
        <f t="shared" si="22"/>
        <v>South</v>
      </c>
      <c r="AD156" t="str">
        <f t="shared" si="23"/>
        <v>Tamil Nadu</v>
      </c>
      <c r="AE156" t="str">
        <f t="shared" si="24"/>
        <v>Chennai</v>
      </c>
      <c r="AF156" t="str">
        <f t="shared" si="25"/>
        <v>Furniture</v>
      </c>
      <c r="AG156" t="str">
        <f t="shared" si="26"/>
        <v>Bookcases</v>
      </c>
      <c r="AH156" t="str">
        <f t="shared" si="27"/>
        <v>Classic Bookcases 847</v>
      </c>
      <c r="AI156" t="str">
        <f t="shared" si="28"/>
        <v>Same Day</v>
      </c>
      <c r="AJ156" s="3" t="str">
        <f t="shared" si="29"/>
        <v xml:space="preserve">  </v>
      </c>
      <c r="AK156">
        <f t="shared" si="30"/>
        <v>264</v>
      </c>
    </row>
    <row r="157" spans="1:37">
      <c r="A157" t="s">
        <v>861</v>
      </c>
      <c r="B157" t="s">
        <v>559</v>
      </c>
      <c r="C157" t="s">
        <v>440</v>
      </c>
      <c r="D157" t="s">
        <v>862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863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  <c r="W157" t="s">
        <v>861</v>
      </c>
      <c r="X157" t="str">
        <v>invalid date</v>
      </c>
      <c r="Y157" t="str">
        <v>03-02-25</v>
      </c>
      <c r="Z157" t="s">
        <v>862</v>
      </c>
      <c r="AA157" t="str">
        <v>Karan Malhotra</v>
      </c>
      <c r="AB157" t="str">
        <f t="shared" si="21"/>
        <v>Corporate</v>
      </c>
      <c r="AC157" t="str">
        <f t="shared" si="22"/>
        <v>West</v>
      </c>
      <c r="AD157" t="str">
        <f t="shared" si="23"/>
        <v>Rajasthan</v>
      </c>
      <c r="AE157" t="str">
        <f t="shared" si="24"/>
        <v>Udaipur</v>
      </c>
      <c r="AF157" t="str">
        <f t="shared" si="25"/>
        <v>Furniture</v>
      </c>
      <c r="AG157" t="str">
        <f t="shared" si="26"/>
        <v>Furnishings</v>
      </c>
      <c r="AH157" t="str">
        <f t="shared" si="27"/>
        <v>Classic Furnishings 655</v>
      </c>
      <c r="AI157" t="str">
        <f t="shared" si="28"/>
        <v>Same Day</v>
      </c>
      <c r="AJ157" s="3" t="str">
        <f t="shared" si="29"/>
        <v>Invalid</v>
      </c>
      <c r="AK157" t="str">
        <f t="shared" si="30"/>
        <v>invalid date</v>
      </c>
    </row>
    <row r="158" spans="1:37">
      <c r="A158" t="s">
        <v>864</v>
      </c>
      <c r="B158" t="s">
        <v>865</v>
      </c>
      <c r="C158" t="s">
        <v>866</v>
      </c>
      <c r="D158" t="s">
        <v>867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868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  <c r="W158" t="s">
        <v>864</v>
      </c>
      <c r="X158" t="str">
        <v>27-03-25</v>
      </c>
      <c r="Y158" t="str">
        <v>27-03-25</v>
      </c>
      <c r="Z158" t="s">
        <v>867</v>
      </c>
      <c r="AA158" t="str">
        <v>Vikram Iyer</v>
      </c>
      <c r="AB158" t="str">
        <f t="shared" si="21"/>
        <v>Small Business</v>
      </c>
      <c r="AC158" t="str">
        <f t="shared" si="22"/>
        <v>East</v>
      </c>
      <c r="AD158" t="str">
        <f t="shared" si="23"/>
        <v>Bihar</v>
      </c>
      <c r="AE158" t="str">
        <f t="shared" si="24"/>
        <v>Patna</v>
      </c>
      <c r="AF158" t="str">
        <f t="shared" si="25"/>
        <v>Technology</v>
      </c>
      <c r="AG158" t="str">
        <f t="shared" si="26"/>
        <v>Machines</v>
      </c>
      <c r="AH158" t="str">
        <f t="shared" si="27"/>
        <v>Eco Machines 657</v>
      </c>
      <c r="AI158" t="str">
        <f t="shared" si="28"/>
        <v>Second Class</v>
      </c>
      <c r="AJ158" s="3" t="str">
        <f t="shared" si="29"/>
        <v xml:space="preserve">  </v>
      </c>
      <c r="AK158">
        <f t="shared" si="30"/>
        <v>0</v>
      </c>
    </row>
    <row r="159" spans="1:37">
      <c r="A159" t="s">
        <v>869</v>
      </c>
      <c r="B159" t="s">
        <v>870</v>
      </c>
      <c r="C159" t="s">
        <v>871</v>
      </c>
      <c r="D159" t="s">
        <v>872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873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  <c r="W159" t="s">
        <v>869</v>
      </c>
      <c r="X159" t="str">
        <v>invalid date</v>
      </c>
      <c r="Y159" t="str">
        <v>24-10-24</v>
      </c>
      <c r="Z159" t="s">
        <v>872</v>
      </c>
      <c r="AA159" t="str">
        <v>Rohan Mehta</v>
      </c>
      <c r="AB159" t="str">
        <f t="shared" si="21"/>
        <v>Small Business</v>
      </c>
      <c r="AC159" t="str">
        <f t="shared" si="22"/>
        <v>South</v>
      </c>
      <c r="AD159" t="str">
        <f t="shared" si="23"/>
        <v>Andhra Pradesh</v>
      </c>
      <c r="AE159" t="str">
        <f t="shared" si="24"/>
        <v>Vijayawada</v>
      </c>
      <c r="AF159" t="str">
        <f t="shared" si="25"/>
        <v>Furniture</v>
      </c>
      <c r="AG159" t="str">
        <f t="shared" si="26"/>
        <v>Bookcases</v>
      </c>
      <c r="AH159" t="str">
        <f t="shared" si="27"/>
        <v>Pro Bookcases 430</v>
      </c>
      <c r="AI159" t="str">
        <f t="shared" si="28"/>
        <v>Standard Class</v>
      </c>
      <c r="AJ159" s="3" t="str">
        <f t="shared" si="29"/>
        <v>Invalid</v>
      </c>
      <c r="AK159" t="str">
        <f t="shared" si="30"/>
        <v>invalid date</v>
      </c>
    </row>
    <row r="160" spans="1:37">
      <c r="A160" t="s">
        <v>874</v>
      </c>
      <c r="B160" t="s">
        <v>875</v>
      </c>
      <c r="C160" t="s">
        <v>876</v>
      </c>
      <c r="D160" t="s">
        <v>877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878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  <c r="W160" t="s">
        <v>874</v>
      </c>
      <c r="X160" t="str">
        <v>09-09-24</v>
      </c>
      <c r="Y160" t="str">
        <v>09-11-24</v>
      </c>
      <c r="Z160" t="s">
        <v>877</v>
      </c>
      <c r="AA160" t="str">
        <v>Neha Gupta</v>
      </c>
      <c r="AB160" t="str">
        <f t="shared" si="21"/>
        <v>Home Office</v>
      </c>
      <c r="AC160" t="str">
        <f t="shared" si="22"/>
        <v>South</v>
      </c>
      <c r="AD160" t="str">
        <f t="shared" si="23"/>
        <v>Telangana</v>
      </c>
      <c r="AE160" t="str">
        <f t="shared" si="24"/>
        <v>Hyderabad</v>
      </c>
      <c r="AF160" t="str">
        <f t="shared" si="25"/>
        <v>Furniture</v>
      </c>
      <c r="AG160" t="str">
        <f t="shared" si="26"/>
        <v>Bookcases</v>
      </c>
      <c r="AH160" t="str">
        <f t="shared" si="27"/>
        <v>Max Bookcases 881</v>
      </c>
      <c r="AI160" t="str">
        <f t="shared" si="28"/>
        <v>First Class</v>
      </c>
      <c r="AJ160" s="3" t="str">
        <f t="shared" si="29"/>
        <v>anomaly</v>
      </c>
      <c r="AK160">
        <f t="shared" si="30"/>
        <v>61</v>
      </c>
    </row>
    <row r="161" spans="1:37">
      <c r="A161" t="s">
        <v>879</v>
      </c>
      <c r="B161" t="s">
        <v>880</v>
      </c>
      <c r="C161" t="s">
        <v>881</v>
      </c>
      <c r="D161" t="s">
        <v>882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883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  <c r="W161" t="s">
        <v>879</v>
      </c>
      <c r="X161" t="str">
        <v>30-01-25</v>
      </c>
      <c r="Y161" t="str">
        <v>04-02-25</v>
      </c>
      <c r="Z161" t="s">
        <v>882</v>
      </c>
      <c r="AA161" t="str">
        <v>Priya Menon</v>
      </c>
      <c r="AB161" t="str">
        <f t="shared" si="21"/>
        <v>Corporate</v>
      </c>
      <c r="AC161" t="str">
        <f t="shared" si="22"/>
        <v>North</v>
      </c>
      <c r="AD161" t="str">
        <f t="shared" si="23"/>
        <v>Haryana</v>
      </c>
      <c r="AE161" t="str">
        <f t="shared" si="24"/>
        <v>Gurugram</v>
      </c>
      <c r="AF161" t="str">
        <f t="shared" si="25"/>
        <v>Furniture</v>
      </c>
      <c r="AG161" t="str">
        <f t="shared" si="26"/>
        <v>Chairs</v>
      </c>
      <c r="AH161" t="str">
        <f t="shared" si="27"/>
        <v>Elite Chairs 998</v>
      </c>
      <c r="AI161" t="str">
        <f t="shared" si="28"/>
        <v>Same Day</v>
      </c>
      <c r="AJ161" s="3" t="str">
        <f t="shared" si="29"/>
        <v xml:space="preserve">  </v>
      </c>
      <c r="AK161">
        <f t="shared" si="30"/>
        <v>5</v>
      </c>
    </row>
    <row r="162" spans="1:37">
      <c r="A162" t="s">
        <v>884</v>
      </c>
      <c r="B162" t="s">
        <v>885</v>
      </c>
      <c r="C162" t="s">
        <v>886</v>
      </c>
      <c r="D162" t="s">
        <v>887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888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  <c r="W162" t="s">
        <v>884</v>
      </c>
      <c r="X162" t="str">
        <v>08-10-25</v>
      </c>
      <c r="Y162" t="str">
        <v>10-06-25</v>
      </c>
      <c r="Z162" t="s">
        <v>887</v>
      </c>
      <c r="AA162" t="str">
        <v>Vikram Iyer</v>
      </c>
      <c r="AB162" t="str">
        <f t="shared" si="21"/>
        <v>Small Business</v>
      </c>
      <c r="AC162" t="str">
        <f t="shared" si="22"/>
        <v>West</v>
      </c>
      <c r="AD162" t="str">
        <f t="shared" si="23"/>
        <v>Maharashtra</v>
      </c>
      <c r="AE162" t="str">
        <f t="shared" si="24"/>
        <v>Mumbai</v>
      </c>
      <c r="AF162" t="str">
        <f t="shared" si="25"/>
        <v>Office Supplies</v>
      </c>
      <c r="AG162" t="str">
        <f t="shared" si="26"/>
        <v>Paper</v>
      </c>
      <c r="AH162" t="str">
        <f t="shared" si="27"/>
        <v>Max Paper 113</v>
      </c>
      <c r="AI162" t="str">
        <f t="shared" si="28"/>
        <v>Second Class</v>
      </c>
      <c r="AJ162" s="3" t="str">
        <f t="shared" si="29"/>
        <v>anomaly</v>
      </c>
      <c r="AK162">
        <f t="shared" si="30"/>
        <v>-120</v>
      </c>
    </row>
    <row r="163" spans="1:37">
      <c r="A163" t="s">
        <v>889</v>
      </c>
      <c r="B163" t="s">
        <v>890</v>
      </c>
      <c r="C163" t="s">
        <v>891</v>
      </c>
      <c r="D163" t="s">
        <v>892</v>
      </c>
      <c r="E163" t="s">
        <v>61</v>
      </c>
      <c r="F163" t="s">
        <v>893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894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  <c r="W163" t="s">
        <v>889</v>
      </c>
      <c r="X163" t="str">
        <v>24-07-25</v>
      </c>
      <c r="Y163" t="str">
        <v>30-07-25</v>
      </c>
      <c r="Z163" t="s">
        <v>892</v>
      </c>
      <c r="AA163" t="str">
        <v>Arjun Bose</v>
      </c>
      <c r="AB163" t="str">
        <f t="shared" si="21"/>
        <v>Consumer</v>
      </c>
      <c r="AC163" t="str">
        <f t="shared" si="22"/>
        <v>West</v>
      </c>
      <c r="AD163" t="str">
        <f t="shared" si="23"/>
        <v>Rajasthan</v>
      </c>
      <c r="AE163" t="str">
        <f t="shared" si="24"/>
        <v>Udaipur</v>
      </c>
      <c r="AF163" t="str">
        <f t="shared" si="25"/>
        <v>Office Supplies</v>
      </c>
      <c r="AG163" t="str">
        <f t="shared" si="26"/>
        <v>Binders</v>
      </c>
      <c r="AH163" t="str">
        <f t="shared" si="27"/>
        <v>Smart Binders 267</v>
      </c>
      <c r="AI163" t="str">
        <f t="shared" si="28"/>
        <v>Standard Class</v>
      </c>
      <c r="AJ163" s="3" t="str">
        <f t="shared" si="29"/>
        <v>anomaly</v>
      </c>
      <c r="AK163">
        <f t="shared" si="30"/>
        <v>6</v>
      </c>
    </row>
    <row r="164" spans="1:37">
      <c r="A164" t="s">
        <v>895</v>
      </c>
      <c r="B164" t="s">
        <v>896</v>
      </c>
      <c r="C164" t="s">
        <v>897</v>
      </c>
      <c r="D164" t="s">
        <v>898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899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  <c r="W164" t="s">
        <v>895</v>
      </c>
      <c r="X164" t="str">
        <v>09-03-24</v>
      </c>
      <c r="Y164" t="str">
        <v>14-03-24</v>
      </c>
      <c r="Z164" t="s">
        <v>898</v>
      </c>
      <c r="AA164" t="str">
        <v>Neha Gupta</v>
      </c>
      <c r="AB164" t="str">
        <f t="shared" si="21"/>
        <v>Small Business</v>
      </c>
      <c r="AC164" t="str">
        <f t="shared" si="22"/>
        <v>West</v>
      </c>
      <c r="AD164" t="str">
        <f t="shared" si="23"/>
        <v>Goa</v>
      </c>
      <c r="AE164" t="str">
        <f t="shared" si="24"/>
        <v>Panaji</v>
      </c>
      <c r="AF164" t="str">
        <f t="shared" si="25"/>
        <v>Furniture</v>
      </c>
      <c r="AG164" t="str">
        <f t="shared" si="26"/>
        <v>Furnishings</v>
      </c>
      <c r="AH164" t="str">
        <f t="shared" si="27"/>
        <v>Pro Furnishings 108</v>
      </c>
      <c r="AI164" t="str">
        <f t="shared" si="28"/>
        <v>Second Class</v>
      </c>
      <c r="AJ164" s="3" t="str">
        <f t="shared" si="29"/>
        <v>anomaly</v>
      </c>
      <c r="AK164">
        <f t="shared" si="30"/>
        <v>5</v>
      </c>
    </row>
    <row r="165" spans="1:37">
      <c r="A165" t="s">
        <v>900</v>
      </c>
      <c r="B165" t="s">
        <v>901</v>
      </c>
      <c r="C165" t="s">
        <v>724</v>
      </c>
      <c r="D165" t="s">
        <v>902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903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  <c r="W165" t="s">
        <v>900</v>
      </c>
      <c r="X165" t="str">
        <v>invalid date</v>
      </c>
      <c r="Y165" t="str">
        <v>26-09-25</v>
      </c>
      <c r="Z165" t="s">
        <v>902</v>
      </c>
      <c r="AA165" t="str">
        <v>Rohan Mehta</v>
      </c>
      <c r="AB165" t="str">
        <f t="shared" si="21"/>
        <v>Home Office</v>
      </c>
      <c r="AC165" t="str">
        <f t="shared" si="22"/>
        <v>West</v>
      </c>
      <c r="AD165" t="str">
        <f t="shared" si="23"/>
        <v>Gujarat</v>
      </c>
      <c r="AE165" t="str">
        <f t="shared" si="24"/>
        <v>Ahmedabad</v>
      </c>
      <c r="AF165" t="str">
        <f t="shared" si="25"/>
        <v>Furniture</v>
      </c>
      <c r="AG165" t="str">
        <f t="shared" si="26"/>
        <v>Tables</v>
      </c>
      <c r="AH165" t="str">
        <f t="shared" si="27"/>
        <v>Elite Tables 389</v>
      </c>
      <c r="AI165" s="5" t="s">
        <v>4116</v>
      </c>
      <c r="AJ165" s="3" t="str">
        <f t="shared" si="29"/>
        <v>Invalid</v>
      </c>
      <c r="AK165" t="str">
        <f t="shared" si="30"/>
        <v>invalid date</v>
      </c>
    </row>
    <row r="166" spans="1:37">
      <c r="A166" t="s">
        <v>904</v>
      </c>
      <c r="B166" t="s">
        <v>905</v>
      </c>
      <c r="C166" t="s">
        <v>906</v>
      </c>
      <c r="D166" t="s">
        <v>907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908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  <c r="W166" t="s">
        <v>904</v>
      </c>
      <c r="X166" t="str">
        <v>09-09-25</v>
      </c>
      <c r="Y166" t="str">
        <v>invalid date</v>
      </c>
      <c r="Z166" t="s">
        <v>907</v>
      </c>
      <c r="AA166" t="str">
        <v>Rahul Verma</v>
      </c>
      <c r="AB166" t="str">
        <f t="shared" si="21"/>
        <v>Small Business</v>
      </c>
      <c r="AC166" t="str">
        <f t="shared" si="22"/>
        <v>East</v>
      </c>
      <c r="AD166" t="str">
        <f t="shared" si="23"/>
        <v>West Bengal</v>
      </c>
      <c r="AE166" t="str">
        <f t="shared" si="24"/>
        <v>Kolkata</v>
      </c>
      <c r="AF166" t="str">
        <f t="shared" si="25"/>
        <v>Furniture</v>
      </c>
      <c r="AG166" t="str">
        <f t="shared" si="26"/>
        <v>Bookcases</v>
      </c>
      <c r="AH166" t="str">
        <f t="shared" si="27"/>
        <v>Pro Bookcases 595</v>
      </c>
      <c r="AI166" t="str">
        <f t="shared" si="28"/>
        <v>Second Class</v>
      </c>
      <c r="AJ166" s="3" t="str">
        <f t="shared" si="29"/>
        <v>Invalid</v>
      </c>
      <c r="AK166" t="str">
        <f t="shared" si="30"/>
        <v>invalid date</v>
      </c>
    </row>
    <row r="167" spans="1:37">
      <c r="A167" t="s">
        <v>909</v>
      </c>
      <c r="B167" t="s">
        <v>910</v>
      </c>
      <c r="C167" t="s">
        <v>911</v>
      </c>
      <c r="D167" t="s">
        <v>912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913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  <c r="W167" t="s">
        <v>909</v>
      </c>
      <c r="X167" t="str">
        <v>invalid date</v>
      </c>
      <c r="Y167" t="str">
        <v>29-11-24</v>
      </c>
      <c r="Z167" t="s">
        <v>912</v>
      </c>
      <c r="AA167" t="str">
        <v>Mira Das</v>
      </c>
      <c r="AB167" t="str">
        <f t="shared" si="21"/>
        <v>Home Office</v>
      </c>
      <c r="AC167" t="str">
        <f t="shared" si="22"/>
        <v>East</v>
      </c>
      <c r="AD167" t="str">
        <f t="shared" si="23"/>
        <v>Bihar</v>
      </c>
      <c r="AE167" t="str">
        <f t="shared" si="24"/>
        <v>Patna</v>
      </c>
      <c r="AF167" t="str">
        <f t="shared" si="25"/>
        <v>Furniture</v>
      </c>
      <c r="AG167" t="str">
        <f t="shared" si="26"/>
        <v>Chairs</v>
      </c>
      <c r="AH167" t="str">
        <f t="shared" si="27"/>
        <v>Max Chairs 148</v>
      </c>
      <c r="AI167" t="str">
        <f t="shared" si="28"/>
        <v>Standard Class</v>
      </c>
      <c r="AJ167" s="3" t="str">
        <f t="shared" si="29"/>
        <v>Invalid</v>
      </c>
      <c r="AK167" t="str">
        <f t="shared" si="30"/>
        <v>invalid date</v>
      </c>
    </row>
    <row r="168" spans="1:37">
      <c r="A168" t="s">
        <v>914</v>
      </c>
      <c r="B168" t="s">
        <v>915</v>
      </c>
      <c r="C168" t="s">
        <v>98</v>
      </c>
      <c r="D168" t="s">
        <v>916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917</v>
      </c>
      <c r="K168" t="s">
        <v>109</v>
      </c>
      <c r="L168" t="s">
        <v>918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  <c r="W168" t="s">
        <v>914</v>
      </c>
      <c r="X168" t="str">
        <v>20-02-25</v>
      </c>
      <c r="Y168" t="str">
        <v>26-02-25</v>
      </c>
      <c r="Z168" t="s">
        <v>916</v>
      </c>
      <c r="AA168" t="str">
        <v>Karan Malhotra</v>
      </c>
      <c r="AB168" t="str">
        <f t="shared" si="21"/>
        <v>Small Business</v>
      </c>
      <c r="AC168" t="str">
        <f t="shared" si="22"/>
        <v>West</v>
      </c>
      <c r="AD168" t="str">
        <f t="shared" si="23"/>
        <v>Gujarat</v>
      </c>
      <c r="AE168" t="str">
        <f t="shared" si="24"/>
        <v>Ahmedabad</v>
      </c>
      <c r="AF168" t="str">
        <f t="shared" si="25"/>
        <v>Office Supplies</v>
      </c>
      <c r="AG168" t="str">
        <f t="shared" si="26"/>
        <v>Labels</v>
      </c>
      <c r="AH168" t="str">
        <f t="shared" si="27"/>
        <v>Basic Labels 671</v>
      </c>
      <c r="AI168" t="str">
        <f t="shared" si="28"/>
        <v>First Class</v>
      </c>
      <c r="AJ168" s="3" t="str">
        <f t="shared" si="29"/>
        <v>anomaly</v>
      </c>
      <c r="AK168">
        <f t="shared" si="30"/>
        <v>6</v>
      </c>
    </row>
    <row r="169" spans="1:37">
      <c r="A169" t="s">
        <v>919</v>
      </c>
      <c r="B169" t="s">
        <v>920</v>
      </c>
      <c r="C169" t="s">
        <v>921</v>
      </c>
      <c r="D169" t="s">
        <v>922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923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  <c r="W169" t="s">
        <v>919</v>
      </c>
      <c r="X169" t="str">
        <v>18-08-25</v>
      </c>
      <c r="Y169" t="str">
        <v>invalid date</v>
      </c>
      <c r="Z169" t="s">
        <v>922</v>
      </c>
      <c r="AA169" t="str">
        <v>Arjun Bose</v>
      </c>
      <c r="AB169" t="str">
        <f t="shared" si="21"/>
        <v>Home Office</v>
      </c>
      <c r="AC169" t="str">
        <f t="shared" si="22"/>
        <v>South</v>
      </c>
      <c r="AD169" t="str">
        <f t="shared" si="23"/>
        <v>Karnataka</v>
      </c>
      <c r="AE169" t="str">
        <f t="shared" si="24"/>
        <v>Bengaluru</v>
      </c>
      <c r="AF169" t="str">
        <f t="shared" si="25"/>
        <v>Office Supplies</v>
      </c>
      <c r="AG169" t="str">
        <f t="shared" si="26"/>
        <v>Storage</v>
      </c>
      <c r="AH169" t="str">
        <f t="shared" si="27"/>
        <v>Elite Storage 628</v>
      </c>
      <c r="AI169" t="str">
        <f t="shared" si="28"/>
        <v>First Class</v>
      </c>
      <c r="AJ169" s="3" t="str">
        <f t="shared" si="29"/>
        <v>Invalid</v>
      </c>
      <c r="AK169" t="str">
        <f t="shared" si="30"/>
        <v>invalid date</v>
      </c>
    </row>
    <row r="170" spans="1:37">
      <c r="A170" t="s">
        <v>924</v>
      </c>
      <c r="B170" t="s">
        <v>925</v>
      </c>
      <c r="C170" t="s">
        <v>184</v>
      </c>
      <c r="D170" t="s">
        <v>926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927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  <c r="W170" t="s">
        <v>924</v>
      </c>
      <c r="X170" t="str">
        <v>invalid date</v>
      </c>
      <c r="Y170" t="str">
        <v>23-01-25</v>
      </c>
      <c r="Z170" t="s">
        <v>926</v>
      </c>
      <c r="AA170" t="str">
        <v>Kabir Singh</v>
      </c>
      <c r="AB170" t="str">
        <f t="shared" si="21"/>
        <v>Consumer</v>
      </c>
      <c r="AC170" t="str">
        <f t="shared" si="22"/>
        <v>West</v>
      </c>
      <c r="AD170" t="str">
        <f t="shared" si="23"/>
        <v>Maharashtra</v>
      </c>
      <c r="AE170" t="str">
        <f t="shared" si="24"/>
        <v>Mumbai</v>
      </c>
      <c r="AF170" t="str">
        <f t="shared" si="25"/>
        <v>Technology</v>
      </c>
      <c r="AG170" t="str">
        <f t="shared" si="26"/>
        <v>Accessories</v>
      </c>
      <c r="AH170" t="str">
        <f t="shared" si="27"/>
        <v>Eco Accessories 590</v>
      </c>
      <c r="AI170" t="str">
        <f t="shared" si="28"/>
        <v>Same Day</v>
      </c>
      <c r="AJ170" s="3" t="str">
        <f t="shared" si="29"/>
        <v>Invalid</v>
      </c>
      <c r="AK170" t="str">
        <f t="shared" si="30"/>
        <v>invalid date</v>
      </c>
    </row>
    <row r="171" spans="1:37">
      <c r="A171" t="s">
        <v>928</v>
      </c>
      <c r="B171" t="s">
        <v>929</v>
      </c>
      <c r="C171" t="s">
        <v>930</v>
      </c>
      <c r="D171" t="s">
        <v>931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932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  <c r="W171" t="s">
        <v>928</v>
      </c>
      <c r="X171" t="str">
        <v>13-09-25</v>
      </c>
      <c r="Y171" t="str">
        <v>invalid date</v>
      </c>
      <c r="Z171" t="s">
        <v>931</v>
      </c>
      <c r="AA171" t="str">
        <v>Diya Patel</v>
      </c>
      <c r="AB171" t="str">
        <f t="shared" si="21"/>
        <v>Consumer</v>
      </c>
      <c r="AC171" t="str">
        <f t="shared" si="22"/>
        <v>East</v>
      </c>
      <c r="AD171" t="str">
        <f t="shared" si="23"/>
        <v>Assam</v>
      </c>
      <c r="AE171" t="str">
        <f t="shared" si="24"/>
        <v>Guwahati</v>
      </c>
      <c r="AF171" t="str">
        <f t="shared" si="25"/>
        <v>Office Supplies</v>
      </c>
      <c r="AG171" t="str">
        <f t="shared" si="26"/>
        <v>Art</v>
      </c>
      <c r="AH171" t="str">
        <f t="shared" si="27"/>
        <v>Pro Art 734</v>
      </c>
      <c r="AI171" t="str">
        <f t="shared" si="28"/>
        <v>Standard Class</v>
      </c>
      <c r="AJ171" s="3" t="str">
        <f t="shared" si="29"/>
        <v>Invalid</v>
      </c>
      <c r="AK171" t="str">
        <f t="shared" si="30"/>
        <v>invalid date</v>
      </c>
    </row>
    <row r="172" spans="1:37">
      <c r="A172" t="s">
        <v>933</v>
      </c>
      <c r="B172" t="s">
        <v>112</v>
      </c>
      <c r="C172" t="s">
        <v>934</v>
      </c>
      <c r="D172" t="s">
        <v>935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936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  <c r="W172" t="s">
        <v>933</v>
      </c>
      <c r="X172" t="str">
        <v>07-09-25</v>
      </c>
      <c r="Y172" t="str">
        <v>invalid date</v>
      </c>
      <c r="Z172" t="s">
        <v>935</v>
      </c>
      <c r="AA172" t="str">
        <v>Rohan Mehta</v>
      </c>
      <c r="AB172" t="str">
        <f t="shared" si="21"/>
        <v>Corporate</v>
      </c>
      <c r="AC172" t="str">
        <f t="shared" si="22"/>
        <v>East</v>
      </c>
      <c r="AD172" t="str">
        <f t="shared" si="23"/>
        <v>Bihar</v>
      </c>
      <c r="AE172" t="str">
        <f t="shared" si="24"/>
        <v>Patna</v>
      </c>
      <c r="AF172" t="str">
        <f t="shared" si="25"/>
        <v>Technology</v>
      </c>
      <c r="AG172" t="str">
        <f t="shared" si="26"/>
        <v>Copiers</v>
      </c>
      <c r="AH172" t="str">
        <f t="shared" si="27"/>
        <v>Eco Copiers 102</v>
      </c>
      <c r="AI172" t="str">
        <f t="shared" si="28"/>
        <v>Standard Class</v>
      </c>
      <c r="AJ172" s="3" t="str">
        <f t="shared" si="29"/>
        <v>Invalid</v>
      </c>
      <c r="AK172" t="str">
        <f t="shared" si="30"/>
        <v>invalid date</v>
      </c>
    </row>
    <row r="173" spans="1:37">
      <c r="A173" t="s">
        <v>937</v>
      </c>
      <c r="B173" t="s">
        <v>97</v>
      </c>
      <c r="C173" t="s">
        <v>938</v>
      </c>
      <c r="D173" t="s">
        <v>939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940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  <c r="W173" t="s">
        <v>937</v>
      </c>
      <c r="X173" t="str">
        <v>23-02-25</v>
      </c>
      <c r="Y173" t="str">
        <v>invalid date</v>
      </c>
      <c r="Z173" t="s">
        <v>939</v>
      </c>
      <c r="AA173" t="str">
        <v>Karan Malhotra</v>
      </c>
      <c r="AB173" t="str">
        <f t="shared" si="21"/>
        <v>Corporate</v>
      </c>
      <c r="AC173" t="str">
        <f t="shared" si="22"/>
        <v>East</v>
      </c>
      <c r="AD173" t="str">
        <f t="shared" si="23"/>
        <v>Bihar</v>
      </c>
      <c r="AE173" t="str">
        <f t="shared" si="24"/>
        <v>Patna</v>
      </c>
      <c r="AF173" t="str">
        <f t="shared" si="25"/>
        <v>Office Supplies</v>
      </c>
      <c r="AG173" t="str">
        <f t="shared" si="26"/>
        <v>Labels</v>
      </c>
      <c r="AH173" t="str">
        <f t="shared" si="27"/>
        <v>Basic Labels 876</v>
      </c>
      <c r="AI173" t="str">
        <f t="shared" si="28"/>
        <v>Same Day</v>
      </c>
      <c r="AJ173" s="3" t="str">
        <f t="shared" si="29"/>
        <v>Invalid</v>
      </c>
      <c r="AK173" t="str">
        <f t="shared" si="30"/>
        <v>invalid date</v>
      </c>
    </row>
    <row r="174" spans="1:37">
      <c r="A174" t="s">
        <v>941</v>
      </c>
      <c r="B174" t="s">
        <v>942</v>
      </c>
      <c r="C174" t="s">
        <v>943</v>
      </c>
      <c r="D174" t="s">
        <v>944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945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  <c r="W174" t="s">
        <v>941</v>
      </c>
      <c r="X174" t="str">
        <v>02-08-25</v>
      </c>
      <c r="Y174" t="str">
        <v>10-08-25</v>
      </c>
      <c r="Z174" t="s">
        <v>944</v>
      </c>
      <c r="AA174" t="str">
        <v>Karan Malhotra</v>
      </c>
      <c r="AB174" t="str">
        <f t="shared" si="21"/>
        <v>Corporate</v>
      </c>
      <c r="AC174" t="str">
        <f t="shared" si="22"/>
        <v>North</v>
      </c>
      <c r="AD174" t="str">
        <f t="shared" si="23"/>
        <v>Delhi</v>
      </c>
      <c r="AE174" t="str">
        <f t="shared" si="24"/>
        <v>New Delhi</v>
      </c>
      <c r="AF174" t="str">
        <f t="shared" si="25"/>
        <v>Furniture</v>
      </c>
      <c r="AG174" t="str">
        <f t="shared" si="26"/>
        <v>Furnishings</v>
      </c>
      <c r="AH174" t="str">
        <f t="shared" si="27"/>
        <v>Prime Furnishings 381</v>
      </c>
      <c r="AI174" t="str">
        <f t="shared" si="28"/>
        <v>Same Day</v>
      </c>
      <c r="AJ174" s="3" t="str">
        <f t="shared" si="29"/>
        <v>anomaly</v>
      </c>
      <c r="AK174">
        <f t="shared" si="30"/>
        <v>8</v>
      </c>
    </row>
    <row r="175" spans="1:37">
      <c r="A175" t="s">
        <v>946</v>
      </c>
      <c r="B175" t="s">
        <v>947</v>
      </c>
      <c r="C175" t="s">
        <v>948</v>
      </c>
      <c r="D175" t="s">
        <v>949</v>
      </c>
      <c r="E175" t="s">
        <v>950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951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  <c r="W175" t="s">
        <v>946</v>
      </c>
      <c r="X175" t="str">
        <v>02-05-24</v>
      </c>
      <c r="Y175" t="str">
        <v>08-05-24</v>
      </c>
      <c r="Z175" t="s">
        <v>949</v>
      </c>
      <c r="AA175" t="str">
        <v>PRIYA MENON</v>
      </c>
      <c r="AB175" t="str">
        <f t="shared" si="21"/>
        <v>Home Office</v>
      </c>
      <c r="AC175" t="str">
        <f t="shared" si="22"/>
        <v>North</v>
      </c>
      <c r="AD175" t="str">
        <f t="shared" si="23"/>
        <v>Punjab</v>
      </c>
      <c r="AE175" t="str">
        <f t="shared" si="24"/>
        <v>Ludhiana</v>
      </c>
      <c r="AF175" t="str">
        <f t="shared" si="25"/>
        <v>Technology</v>
      </c>
      <c r="AG175" t="str">
        <f t="shared" si="26"/>
        <v>Copiers</v>
      </c>
      <c r="AH175" t="str">
        <f t="shared" si="27"/>
        <v>Prime Copiers 440</v>
      </c>
      <c r="AI175" t="str">
        <f t="shared" si="28"/>
        <v>Second Class</v>
      </c>
      <c r="AJ175" s="3" t="str">
        <f t="shared" si="29"/>
        <v>anomaly</v>
      </c>
      <c r="AK175">
        <f t="shared" si="30"/>
        <v>6</v>
      </c>
    </row>
    <row r="176" spans="1:37">
      <c r="A176" t="s">
        <v>952</v>
      </c>
      <c r="B176" t="s">
        <v>953</v>
      </c>
      <c r="C176" t="s">
        <v>954</v>
      </c>
      <c r="D176" t="s">
        <v>955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956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  <c r="W176" t="s">
        <v>952</v>
      </c>
      <c r="X176" t="str">
        <v>28-09-25</v>
      </c>
      <c r="Y176" t="str">
        <v>04-10-25</v>
      </c>
      <c r="Z176" t="s">
        <v>955</v>
      </c>
      <c r="AA176" t="str">
        <v>Karan Malhotra</v>
      </c>
      <c r="AB176" t="str">
        <f t="shared" si="21"/>
        <v>Small Business</v>
      </c>
      <c r="AC176" t="str">
        <f t="shared" si="22"/>
        <v>South</v>
      </c>
      <c r="AD176" t="str">
        <f t="shared" si="23"/>
        <v>Karnataka</v>
      </c>
      <c r="AE176" t="str">
        <f t="shared" si="24"/>
        <v>Bengaluru</v>
      </c>
      <c r="AF176" t="str">
        <f t="shared" si="25"/>
        <v>Furniture</v>
      </c>
      <c r="AG176" t="str">
        <f t="shared" si="26"/>
        <v>Bookcases</v>
      </c>
      <c r="AH176" t="str">
        <f t="shared" si="27"/>
        <v>Pro Bookcases 319</v>
      </c>
      <c r="AI176" t="str">
        <f t="shared" si="28"/>
        <v>First Class</v>
      </c>
      <c r="AJ176" s="3" t="str">
        <f t="shared" si="29"/>
        <v xml:space="preserve">  </v>
      </c>
      <c r="AK176">
        <f t="shared" si="30"/>
        <v>6</v>
      </c>
    </row>
    <row r="177" spans="1:37">
      <c r="A177" t="s">
        <v>957</v>
      </c>
      <c r="B177" t="s">
        <v>741</v>
      </c>
      <c r="C177" t="s">
        <v>958</v>
      </c>
      <c r="D177" t="s">
        <v>959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960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  <c r="W177" t="s">
        <v>957</v>
      </c>
      <c r="X177" t="str">
        <v>27-01-24</v>
      </c>
      <c r="Y177" t="str">
        <v>03-02-24</v>
      </c>
      <c r="Z177" t="s">
        <v>959</v>
      </c>
      <c r="AA177" t="str">
        <v>Arjun Bose</v>
      </c>
      <c r="AB177" t="str">
        <f t="shared" si="21"/>
        <v>Small Business</v>
      </c>
      <c r="AC177" t="str">
        <f t="shared" si="22"/>
        <v>East</v>
      </c>
      <c r="AD177" t="str">
        <f t="shared" si="23"/>
        <v>Bihar</v>
      </c>
      <c r="AE177" t="str">
        <f t="shared" si="24"/>
        <v>Patna</v>
      </c>
      <c r="AF177" t="str">
        <f t="shared" si="25"/>
        <v>Technology</v>
      </c>
      <c r="AG177" t="str">
        <f t="shared" si="26"/>
        <v>Machines</v>
      </c>
      <c r="AH177" t="str">
        <f t="shared" si="27"/>
        <v>Basic Machines 584</v>
      </c>
      <c r="AI177" t="str">
        <f t="shared" si="28"/>
        <v>Same Day</v>
      </c>
      <c r="AJ177" s="3" t="str">
        <f t="shared" si="29"/>
        <v xml:space="preserve">  </v>
      </c>
      <c r="AK177">
        <f t="shared" si="30"/>
        <v>7</v>
      </c>
    </row>
    <row r="178" spans="1:37">
      <c r="A178" t="s">
        <v>961</v>
      </c>
      <c r="B178" t="s">
        <v>962</v>
      </c>
      <c r="C178" t="s">
        <v>963</v>
      </c>
      <c r="D178" t="s">
        <v>964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965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  <c r="W178" t="s">
        <v>961</v>
      </c>
      <c r="X178" t="str">
        <v>18-03-25</v>
      </c>
      <c r="Y178" t="str">
        <v>invalid date</v>
      </c>
      <c r="Z178" t="s">
        <v>964</v>
      </c>
      <c r="AA178" t="str">
        <v>Vikram Iyer</v>
      </c>
      <c r="AB178" t="str">
        <f t="shared" si="21"/>
        <v>Corporate</v>
      </c>
      <c r="AC178" t="str">
        <f t="shared" si="22"/>
        <v>East</v>
      </c>
      <c r="AD178" t="str">
        <f t="shared" si="23"/>
        <v>Jharkhand</v>
      </c>
      <c r="AE178" t="str">
        <f t="shared" si="24"/>
        <v>Ranchi</v>
      </c>
      <c r="AF178" t="str">
        <f t="shared" si="25"/>
        <v>Furniture</v>
      </c>
      <c r="AG178" t="str">
        <f t="shared" si="26"/>
        <v>Bookcases</v>
      </c>
      <c r="AH178" t="str">
        <f t="shared" si="27"/>
        <v>Pro Bookcases 612</v>
      </c>
      <c r="AI178" t="str">
        <f t="shared" si="28"/>
        <v>Standard Class</v>
      </c>
      <c r="AJ178" s="3" t="str">
        <f t="shared" si="29"/>
        <v>Invalid</v>
      </c>
      <c r="AK178" t="str">
        <f t="shared" si="30"/>
        <v>invalid date</v>
      </c>
    </row>
    <row r="179" spans="1:37">
      <c r="A179" t="s">
        <v>966</v>
      </c>
      <c r="B179" t="s">
        <v>967</v>
      </c>
      <c r="C179" t="s">
        <v>968</v>
      </c>
      <c r="D179" t="s">
        <v>969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970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  <c r="W179" t="s">
        <v>966</v>
      </c>
      <c r="X179" t="str">
        <v>01-06-24</v>
      </c>
      <c r="Y179" t="str">
        <v>06-03-24</v>
      </c>
      <c r="Z179" t="s">
        <v>969</v>
      </c>
      <c r="AA179" t="str">
        <v>Sneha Kapoor</v>
      </c>
      <c r="AB179" t="str">
        <f t="shared" si="21"/>
        <v>Home Office</v>
      </c>
      <c r="AC179" s="5" t="s">
        <v>4116</v>
      </c>
      <c r="AD179" t="str">
        <f t="shared" si="23"/>
        <v>Bihar</v>
      </c>
      <c r="AE179" t="str">
        <f t="shared" si="24"/>
        <v>Patna</v>
      </c>
      <c r="AF179" t="str">
        <f t="shared" si="25"/>
        <v>Office Supplies</v>
      </c>
      <c r="AG179" t="str">
        <f t="shared" si="26"/>
        <v>Art</v>
      </c>
      <c r="AH179" t="str">
        <f t="shared" si="27"/>
        <v>Classic Art 573</v>
      </c>
      <c r="AI179" t="str">
        <f t="shared" si="28"/>
        <v>Same Day</v>
      </c>
      <c r="AJ179" s="3" t="str">
        <f t="shared" si="29"/>
        <v>anomaly</v>
      </c>
      <c r="AK179">
        <f t="shared" si="30"/>
        <v>-87</v>
      </c>
    </row>
    <row r="180" spans="1:37">
      <c r="A180" t="s">
        <v>971</v>
      </c>
      <c r="B180" t="s">
        <v>972</v>
      </c>
      <c r="C180" t="s">
        <v>973</v>
      </c>
      <c r="D180" t="s">
        <v>974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975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  <c r="W180" t="s">
        <v>971</v>
      </c>
      <c r="X180" t="str">
        <v>30-09-24</v>
      </c>
      <c r="Y180" t="str">
        <v>30-09-24</v>
      </c>
      <c r="Z180" t="s">
        <v>974</v>
      </c>
      <c r="AA180" t="str">
        <v>Isha Nair</v>
      </c>
      <c r="AB180" t="str">
        <f t="shared" si="21"/>
        <v>Corporate</v>
      </c>
      <c r="AC180" t="str">
        <f t="shared" si="22"/>
        <v>South</v>
      </c>
      <c r="AD180" t="str">
        <f t="shared" si="23"/>
        <v>Telangana</v>
      </c>
      <c r="AE180" t="str">
        <f t="shared" si="24"/>
        <v>Hyderabad</v>
      </c>
      <c r="AF180" t="str">
        <f t="shared" si="25"/>
        <v>Office Supplies</v>
      </c>
      <c r="AG180" t="str">
        <f t="shared" si="26"/>
        <v>Art</v>
      </c>
      <c r="AH180" t="str">
        <f t="shared" si="27"/>
        <v>Eco Art 854</v>
      </c>
      <c r="AI180" t="str">
        <f t="shared" si="28"/>
        <v>Standard Class</v>
      </c>
      <c r="AJ180" s="3" t="str">
        <f t="shared" si="29"/>
        <v xml:space="preserve">  </v>
      </c>
      <c r="AK180">
        <f t="shared" si="30"/>
        <v>0</v>
      </c>
    </row>
    <row r="181" spans="1:37">
      <c r="A181" t="s">
        <v>976</v>
      </c>
      <c r="B181" t="s">
        <v>977</v>
      </c>
      <c r="C181" t="s">
        <v>978</v>
      </c>
      <c r="D181" t="s">
        <v>979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980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  <c r="W181" t="s">
        <v>976</v>
      </c>
      <c r="X181" t="str">
        <v>15-03-24</v>
      </c>
      <c r="Y181" t="str">
        <v>invalid date</v>
      </c>
      <c r="Z181" t="s">
        <v>979</v>
      </c>
      <c r="AA181" t="str">
        <v>Ananya Rao</v>
      </c>
      <c r="AB181" t="str">
        <f t="shared" si="21"/>
        <v>Small Business</v>
      </c>
      <c r="AC181" t="str">
        <f t="shared" si="22"/>
        <v>South</v>
      </c>
      <c r="AD181" t="str">
        <f t="shared" si="23"/>
        <v>Tamil Nadu</v>
      </c>
      <c r="AE181" t="str">
        <f t="shared" si="24"/>
        <v>Chennai</v>
      </c>
      <c r="AF181" t="str">
        <f t="shared" si="25"/>
        <v>Furniture</v>
      </c>
      <c r="AG181" t="str">
        <f t="shared" si="26"/>
        <v>Furnishings</v>
      </c>
      <c r="AH181" t="str">
        <f t="shared" si="27"/>
        <v>Classic Furnishings 996</v>
      </c>
      <c r="AI181" t="str">
        <f t="shared" si="28"/>
        <v>Standard Class</v>
      </c>
      <c r="AJ181" s="3" t="str">
        <f t="shared" si="29"/>
        <v>Invalid</v>
      </c>
      <c r="AK181" t="str">
        <f t="shared" si="30"/>
        <v>invalid date</v>
      </c>
    </row>
    <row r="182" spans="1:37">
      <c r="A182" t="s">
        <v>981</v>
      </c>
      <c r="B182" t="s">
        <v>982</v>
      </c>
      <c r="C182" t="s">
        <v>983</v>
      </c>
      <c r="D182" t="s">
        <v>984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917</v>
      </c>
      <c r="K182" t="s">
        <v>198</v>
      </c>
      <c r="L182" t="s">
        <v>985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  <c r="W182" t="s">
        <v>981</v>
      </c>
      <c r="X182" t="str">
        <v>26-08-24</v>
      </c>
      <c r="Y182" t="str">
        <v>26-08-24</v>
      </c>
      <c r="Z182" t="s">
        <v>984</v>
      </c>
      <c r="AA182" t="str">
        <v>Mira Das</v>
      </c>
      <c r="AB182" t="str">
        <f t="shared" si="21"/>
        <v>Home Office</v>
      </c>
      <c r="AC182" t="str">
        <f t="shared" si="22"/>
        <v>North</v>
      </c>
      <c r="AD182" t="str">
        <f t="shared" si="23"/>
        <v>Uttar Pradesh</v>
      </c>
      <c r="AE182" t="str">
        <f t="shared" si="24"/>
        <v>Noida</v>
      </c>
      <c r="AF182" t="str">
        <f t="shared" si="25"/>
        <v>Office Supplies</v>
      </c>
      <c r="AG182" t="str">
        <f t="shared" si="26"/>
        <v>Binders</v>
      </c>
      <c r="AH182" t="str">
        <f t="shared" si="27"/>
        <v>Prime Binders 735</v>
      </c>
      <c r="AI182" t="str">
        <f t="shared" si="28"/>
        <v>First Class</v>
      </c>
      <c r="AJ182" s="3" t="str">
        <f t="shared" si="29"/>
        <v xml:space="preserve">  </v>
      </c>
      <c r="AK182">
        <f t="shared" si="30"/>
        <v>0</v>
      </c>
    </row>
    <row r="183" spans="1:37">
      <c r="A183" t="s">
        <v>986</v>
      </c>
      <c r="B183" t="s">
        <v>987</v>
      </c>
      <c r="C183" t="s">
        <v>988</v>
      </c>
      <c r="D183" t="s">
        <v>989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990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  <c r="W183" t="s">
        <v>986</v>
      </c>
      <c r="X183" t="str">
        <v>09-09-25</v>
      </c>
      <c r="Y183" t="str">
        <v>10-09-25</v>
      </c>
      <c r="Z183" t="s">
        <v>989</v>
      </c>
      <c r="AA183" t="str">
        <v>Priya Menon</v>
      </c>
      <c r="AB183" t="str">
        <f t="shared" si="21"/>
        <v>Home Office</v>
      </c>
      <c r="AC183" t="str">
        <f t="shared" si="22"/>
        <v>South</v>
      </c>
      <c r="AD183" t="str">
        <f t="shared" si="23"/>
        <v>Tamil Nadu</v>
      </c>
      <c r="AE183" t="str">
        <f t="shared" si="24"/>
        <v>Chennai</v>
      </c>
      <c r="AF183" t="str">
        <f t="shared" si="25"/>
        <v>Office Supplies</v>
      </c>
      <c r="AG183" t="str">
        <f t="shared" si="26"/>
        <v>Art</v>
      </c>
      <c r="AH183" t="str">
        <f t="shared" si="27"/>
        <v>Pro Art 587</v>
      </c>
      <c r="AI183" t="str">
        <f t="shared" si="28"/>
        <v>Second Class</v>
      </c>
      <c r="AJ183" s="3" t="str">
        <f t="shared" si="29"/>
        <v>anomaly</v>
      </c>
      <c r="AK183">
        <f t="shared" si="30"/>
        <v>1</v>
      </c>
    </row>
    <row r="184" spans="1:37">
      <c r="A184" t="s">
        <v>991</v>
      </c>
      <c r="B184" t="s">
        <v>299</v>
      </c>
      <c r="C184" t="s">
        <v>299</v>
      </c>
      <c r="D184" t="s">
        <v>992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993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  <c r="W184" t="s">
        <v>991</v>
      </c>
      <c r="X184" t="str">
        <v>16-10-24</v>
      </c>
      <c r="Y184" t="str">
        <v>16-10-24</v>
      </c>
      <c r="Z184" t="s">
        <v>992</v>
      </c>
      <c r="AA184" t="str">
        <v>Ananya Rao</v>
      </c>
      <c r="AB184" t="str">
        <f t="shared" si="21"/>
        <v>Home Office</v>
      </c>
      <c r="AC184" t="str">
        <f t="shared" si="22"/>
        <v>East</v>
      </c>
      <c r="AD184" t="str">
        <f t="shared" si="23"/>
        <v>Bihar</v>
      </c>
      <c r="AE184" t="str">
        <f t="shared" si="24"/>
        <v>Patna</v>
      </c>
      <c r="AF184" t="str">
        <f t="shared" si="25"/>
        <v>Technology</v>
      </c>
      <c r="AG184" t="str">
        <f t="shared" si="26"/>
        <v>Machines</v>
      </c>
      <c r="AH184" t="str">
        <f t="shared" si="27"/>
        <v>Basic Machines 575</v>
      </c>
      <c r="AI184" t="str">
        <f t="shared" si="28"/>
        <v>Standard Class</v>
      </c>
      <c r="AJ184" s="3" t="str">
        <f t="shared" si="29"/>
        <v xml:space="preserve">  </v>
      </c>
      <c r="AK184">
        <f t="shared" si="30"/>
        <v>0</v>
      </c>
    </row>
    <row r="185" spans="1:37">
      <c r="A185" t="s">
        <v>994</v>
      </c>
      <c r="B185" t="s">
        <v>995</v>
      </c>
      <c r="C185" t="s">
        <v>996</v>
      </c>
      <c r="D185" t="s">
        <v>997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998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  <c r="W185" t="s">
        <v>994</v>
      </c>
      <c r="X185" t="str">
        <v>24-06-25</v>
      </c>
      <c r="Y185" t="str">
        <v>27-06-25</v>
      </c>
      <c r="Z185" t="s">
        <v>997</v>
      </c>
      <c r="AA185" t="str">
        <v>Vikram Iyer</v>
      </c>
      <c r="AB185" t="str">
        <f t="shared" si="21"/>
        <v>Home Office</v>
      </c>
      <c r="AC185" t="str">
        <f t="shared" si="22"/>
        <v>South</v>
      </c>
      <c r="AD185" t="str">
        <f t="shared" si="23"/>
        <v>Telangana</v>
      </c>
      <c r="AE185" t="str">
        <f t="shared" si="24"/>
        <v>Hyderabad</v>
      </c>
      <c r="AF185" t="str">
        <f t="shared" si="25"/>
        <v>Technology</v>
      </c>
      <c r="AG185" t="str">
        <f t="shared" si="26"/>
        <v>Copiers</v>
      </c>
      <c r="AH185" t="str">
        <f t="shared" si="27"/>
        <v>Elite Copiers 788</v>
      </c>
      <c r="AI185" t="str">
        <f t="shared" si="28"/>
        <v>Standard Class</v>
      </c>
      <c r="AJ185" s="3" t="str">
        <f t="shared" si="29"/>
        <v>anomaly</v>
      </c>
      <c r="AK185">
        <f t="shared" si="30"/>
        <v>3</v>
      </c>
    </row>
    <row r="186" spans="1:37">
      <c r="A186" t="s">
        <v>999</v>
      </c>
      <c r="B186" t="s">
        <v>1000</v>
      </c>
      <c r="C186" t="s">
        <v>348</v>
      </c>
      <c r="D186" t="s">
        <v>1001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1002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  <c r="W186" t="s">
        <v>999</v>
      </c>
      <c r="X186" t="str">
        <v>02-04-24</v>
      </c>
      <c r="Y186" t="str">
        <v>06-04-24</v>
      </c>
      <c r="Z186" t="s">
        <v>1001</v>
      </c>
      <c r="AA186" t="str">
        <v>Vikram Iyer</v>
      </c>
      <c r="AB186" t="str">
        <f t="shared" si="21"/>
        <v>Corporate</v>
      </c>
      <c r="AC186" t="str">
        <f t="shared" si="22"/>
        <v>West</v>
      </c>
      <c r="AD186" t="str">
        <f t="shared" si="23"/>
        <v>Madhya Pradesh</v>
      </c>
      <c r="AE186" t="str">
        <f t="shared" si="24"/>
        <v>Indore</v>
      </c>
      <c r="AF186" t="str">
        <f t="shared" si="25"/>
        <v>Furniture</v>
      </c>
      <c r="AG186" t="str">
        <f t="shared" si="26"/>
        <v>Bookcases</v>
      </c>
      <c r="AH186" t="str">
        <f t="shared" si="27"/>
        <v>Max Bookcases 472</v>
      </c>
      <c r="AI186" t="str">
        <f t="shared" si="28"/>
        <v>Standard Class</v>
      </c>
      <c r="AJ186" s="3" t="str">
        <f t="shared" si="29"/>
        <v>anomaly</v>
      </c>
      <c r="AK186">
        <f t="shared" si="30"/>
        <v>4</v>
      </c>
    </row>
    <row r="187" spans="1:37">
      <c r="A187" t="s">
        <v>1003</v>
      </c>
      <c r="B187" t="s">
        <v>104</v>
      </c>
      <c r="C187" t="s">
        <v>1004</v>
      </c>
      <c r="D187" t="s">
        <v>1005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1006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  <c r="W187" t="s">
        <v>1003</v>
      </c>
      <c r="X187" t="str">
        <v>11-05-24</v>
      </c>
      <c r="Y187" t="str">
        <v>13-11-24</v>
      </c>
      <c r="Z187" t="s">
        <v>1005</v>
      </c>
      <c r="AA187" t="str">
        <v>Arjun Bose</v>
      </c>
      <c r="AB187" t="str">
        <f t="shared" si="21"/>
        <v>Consumer</v>
      </c>
      <c r="AC187" s="5" t="s">
        <v>4116</v>
      </c>
      <c r="AD187" t="str">
        <f t="shared" si="23"/>
        <v>Punjab</v>
      </c>
      <c r="AE187" t="str">
        <f t="shared" si="24"/>
        <v>Ludhiana</v>
      </c>
      <c r="AF187" t="str">
        <f t="shared" si="25"/>
        <v>Office Supplies</v>
      </c>
      <c r="AG187" t="str">
        <f t="shared" si="26"/>
        <v>Labels</v>
      </c>
      <c r="AH187" t="str">
        <f t="shared" si="27"/>
        <v>Smart Labels 475</v>
      </c>
      <c r="AI187" t="str">
        <f t="shared" si="28"/>
        <v>Second Class</v>
      </c>
      <c r="AJ187" s="3" t="str">
        <f t="shared" si="29"/>
        <v>anomaly</v>
      </c>
      <c r="AK187">
        <f t="shared" si="30"/>
        <v>186</v>
      </c>
    </row>
    <row r="188" spans="1:37">
      <c r="A188" t="s">
        <v>1007</v>
      </c>
      <c r="B188" t="s">
        <v>332</v>
      </c>
      <c r="C188" t="s">
        <v>1008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1009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  <c r="W188" t="s">
        <v>1007</v>
      </c>
      <c r="X188" t="str">
        <v>19-07-24</v>
      </c>
      <c r="Y188" t="str">
        <v>20-07-24</v>
      </c>
      <c r="Z188" t="s">
        <v>365</v>
      </c>
      <c r="AA188" t="str">
        <v>Vikram Iyer</v>
      </c>
      <c r="AB188" t="str">
        <f t="shared" si="21"/>
        <v>Consumer</v>
      </c>
      <c r="AC188" t="str">
        <f t="shared" si="22"/>
        <v>South</v>
      </c>
      <c r="AD188" t="str">
        <f t="shared" si="23"/>
        <v>Tamil Nadu</v>
      </c>
      <c r="AE188" t="str">
        <f t="shared" si="24"/>
        <v>Chennai</v>
      </c>
      <c r="AF188" t="str">
        <f t="shared" si="25"/>
        <v>Furniture</v>
      </c>
      <c r="AG188" t="str">
        <f t="shared" si="26"/>
        <v>Tables</v>
      </c>
      <c r="AH188" t="str">
        <f t="shared" si="27"/>
        <v>Basic Tables 417</v>
      </c>
      <c r="AI188" t="str">
        <f t="shared" si="28"/>
        <v>First Class</v>
      </c>
      <c r="AJ188" s="3" t="str">
        <f t="shared" si="29"/>
        <v>anomaly</v>
      </c>
      <c r="AK188">
        <f t="shared" si="30"/>
        <v>1</v>
      </c>
    </row>
    <row r="189" spans="1:37">
      <c r="A189" t="s">
        <v>1010</v>
      </c>
      <c r="B189" t="s">
        <v>1011</v>
      </c>
      <c r="C189" t="s">
        <v>1012</v>
      </c>
      <c r="D189" t="s">
        <v>1013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1014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  <c r="W189" t="s">
        <v>1010</v>
      </c>
      <c r="X189" t="str">
        <v>01-05-25</v>
      </c>
      <c r="Y189" t="str">
        <v>02-05-25</v>
      </c>
      <c r="Z189" t="s">
        <v>1013</v>
      </c>
      <c r="AA189" t="str">
        <v>Mira Das</v>
      </c>
      <c r="AB189" t="str">
        <f t="shared" si="21"/>
        <v>Consumer</v>
      </c>
      <c r="AC189" t="str">
        <f t="shared" si="22"/>
        <v>West</v>
      </c>
      <c r="AD189" t="str">
        <f t="shared" si="23"/>
        <v>Madhya Pradesh</v>
      </c>
      <c r="AE189" t="str">
        <f t="shared" si="24"/>
        <v>Indore</v>
      </c>
      <c r="AF189" t="str">
        <f t="shared" si="25"/>
        <v>Furniture</v>
      </c>
      <c r="AG189" t="str">
        <f t="shared" si="26"/>
        <v>Chairs</v>
      </c>
      <c r="AH189" t="str">
        <f t="shared" si="27"/>
        <v>Pro Chairs 844</v>
      </c>
      <c r="AI189" t="str">
        <f t="shared" si="28"/>
        <v>Same Day</v>
      </c>
      <c r="AJ189" s="3" t="str">
        <f t="shared" si="29"/>
        <v>anomaly</v>
      </c>
      <c r="AK189">
        <f t="shared" si="30"/>
        <v>1</v>
      </c>
    </row>
    <row r="190" spans="1:37">
      <c r="A190" t="s">
        <v>1015</v>
      </c>
      <c r="B190" t="s">
        <v>1016</v>
      </c>
      <c r="C190" t="s">
        <v>1017</v>
      </c>
      <c r="D190" t="s">
        <v>1018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1019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  <c r="W190" t="s">
        <v>1015</v>
      </c>
      <c r="X190" t="str">
        <v>21-05-25</v>
      </c>
      <c r="Y190" t="str">
        <v>28-05-25</v>
      </c>
      <c r="Z190" t="s">
        <v>1018</v>
      </c>
      <c r="AA190" t="str">
        <v>Priya Menon</v>
      </c>
      <c r="AB190" t="str">
        <f t="shared" si="21"/>
        <v>Corporate</v>
      </c>
      <c r="AC190" t="str">
        <f t="shared" si="22"/>
        <v>East</v>
      </c>
      <c r="AD190" t="str">
        <f t="shared" si="23"/>
        <v>West Bengal</v>
      </c>
      <c r="AE190" t="str">
        <f t="shared" si="24"/>
        <v>Kolkata</v>
      </c>
      <c r="AF190" t="str">
        <f t="shared" si="25"/>
        <v>Furniture</v>
      </c>
      <c r="AG190" t="str">
        <f t="shared" si="26"/>
        <v>Bookcases</v>
      </c>
      <c r="AH190" t="str">
        <f t="shared" si="27"/>
        <v>Elite Bookcases 883</v>
      </c>
      <c r="AI190" t="str">
        <f t="shared" si="28"/>
        <v>Same Day</v>
      </c>
      <c r="AJ190" s="3" t="str">
        <f t="shared" si="29"/>
        <v>anomaly</v>
      </c>
      <c r="AK190">
        <f t="shared" si="30"/>
        <v>7</v>
      </c>
    </row>
    <row r="191" spans="1:37">
      <c r="A191" t="s">
        <v>1020</v>
      </c>
      <c r="B191" t="s">
        <v>1021</v>
      </c>
      <c r="C191" t="s">
        <v>1022</v>
      </c>
      <c r="D191" t="s">
        <v>1023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1024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1025</v>
      </c>
      <c r="W191" t="s">
        <v>1020</v>
      </c>
      <c r="X191" t="str">
        <v>06-05-25</v>
      </c>
      <c r="Y191" t="str">
        <v>07-05-25</v>
      </c>
      <c r="Z191" t="s">
        <v>1023</v>
      </c>
      <c r="AA191" t="str">
        <v>Arjun Bose</v>
      </c>
      <c r="AB191" t="str">
        <f t="shared" si="21"/>
        <v>Consumer</v>
      </c>
      <c r="AC191" t="str">
        <f t="shared" si="22"/>
        <v>West</v>
      </c>
      <c r="AD191" t="str">
        <f t="shared" si="23"/>
        <v>Rajasthan</v>
      </c>
      <c r="AE191" t="str">
        <f t="shared" si="24"/>
        <v>Udaipur</v>
      </c>
      <c r="AF191" t="str">
        <f t="shared" si="25"/>
        <v>Furniture</v>
      </c>
      <c r="AG191" t="str">
        <f t="shared" si="26"/>
        <v>Bookcases</v>
      </c>
      <c r="AH191" t="str">
        <f t="shared" si="27"/>
        <v>Basic Bookcases 754</v>
      </c>
      <c r="AI191" t="str">
        <f t="shared" si="28"/>
        <v>First Class</v>
      </c>
      <c r="AJ191" s="3" t="str">
        <f t="shared" si="29"/>
        <v>anomaly</v>
      </c>
      <c r="AK191">
        <f t="shared" si="30"/>
        <v>1</v>
      </c>
    </row>
    <row r="192" spans="1:37">
      <c r="A192" t="s">
        <v>1026</v>
      </c>
      <c r="B192" t="s">
        <v>1027</v>
      </c>
      <c r="C192" t="s">
        <v>1028</v>
      </c>
      <c r="D192" t="s">
        <v>1029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1030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  <c r="W192" t="s">
        <v>1026</v>
      </c>
      <c r="X192" t="str">
        <v>20-04-25</v>
      </c>
      <c r="Y192" t="str">
        <v>invalid date</v>
      </c>
      <c r="Z192" t="s">
        <v>1029</v>
      </c>
      <c r="AA192" t="str">
        <v>Aditi Sen</v>
      </c>
      <c r="AB192" t="str">
        <f t="shared" si="21"/>
        <v>Consumer</v>
      </c>
      <c r="AC192" t="str">
        <f t="shared" si="22"/>
        <v>South</v>
      </c>
      <c r="AD192" t="str">
        <f t="shared" si="23"/>
        <v>Tamil Nadu</v>
      </c>
      <c r="AE192" t="str">
        <f t="shared" si="24"/>
        <v>Chennai</v>
      </c>
      <c r="AF192" t="str">
        <f t="shared" si="25"/>
        <v>Office Supplies</v>
      </c>
      <c r="AG192" t="str">
        <f t="shared" si="26"/>
        <v>Storage</v>
      </c>
      <c r="AH192" t="str">
        <f t="shared" si="27"/>
        <v>Eco Storage 158</v>
      </c>
      <c r="AI192" t="str">
        <f t="shared" si="28"/>
        <v>First Class</v>
      </c>
      <c r="AJ192" s="3" t="str">
        <f t="shared" si="29"/>
        <v>Invalid</v>
      </c>
      <c r="AK192" t="str">
        <f t="shared" si="30"/>
        <v>invalid date</v>
      </c>
    </row>
    <row r="193" spans="1:37">
      <c r="A193" t="s">
        <v>1031</v>
      </c>
      <c r="B193" t="s">
        <v>1032</v>
      </c>
      <c r="C193" t="s">
        <v>645</v>
      </c>
      <c r="D193" t="s">
        <v>1033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1034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  <c r="W193" t="s">
        <v>1031</v>
      </c>
      <c r="X193" t="str">
        <v>19-10-24</v>
      </c>
      <c r="Y193" t="str">
        <v>24-10-24</v>
      </c>
      <c r="Z193" t="s">
        <v>1033</v>
      </c>
      <c r="AA193" t="str">
        <v>Sneha Kapoor</v>
      </c>
      <c r="AB193" t="str">
        <f t="shared" si="21"/>
        <v>Small Business</v>
      </c>
      <c r="AC193" t="str">
        <f t="shared" si="22"/>
        <v>South</v>
      </c>
      <c r="AD193" t="str">
        <f t="shared" si="23"/>
        <v>Tamil Nadu</v>
      </c>
      <c r="AE193" t="str">
        <f t="shared" si="24"/>
        <v>Chennai</v>
      </c>
      <c r="AF193" t="str">
        <f t="shared" si="25"/>
        <v>Furniture</v>
      </c>
      <c r="AG193" t="str">
        <f t="shared" si="26"/>
        <v>Bookcases</v>
      </c>
      <c r="AH193" t="str">
        <f t="shared" si="27"/>
        <v>Prime Bookcases 602</v>
      </c>
      <c r="AI193" t="str">
        <f t="shared" si="28"/>
        <v>Second Class</v>
      </c>
      <c r="AJ193" s="3" t="str">
        <f t="shared" si="29"/>
        <v>anomaly</v>
      </c>
      <c r="AK193">
        <f t="shared" si="30"/>
        <v>5</v>
      </c>
    </row>
    <row r="194" spans="1:37">
      <c r="A194" t="s">
        <v>1035</v>
      </c>
      <c r="B194" t="s">
        <v>1036</v>
      </c>
      <c r="C194" t="s">
        <v>1037</v>
      </c>
      <c r="D194" t="s">
        <v>1038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1039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  <c r="W194" t="s">
        <v>1035</v>
      </c>
      <c r="X194" t="str">
        <v>09-12-24</v>
      </c>
      <c r="Y194" t="str">
        <v>invalid date</v>
      </c>
      <c r="Z194" t="s">
        <v>1038</v>
      </c>
      <c r="AA194" t="str">
        <v>Isha Nair</v>
      </c>
      <c r="AB194" t="str">
        <f t="shared" si="21"/>
        <v>Home Office</v>
      </c>
      <c r="AC194" t="str">
        <f t="shared" si="22"/>
        <v>West</v>
      </c>
      <c r="AD194" t="str">
        <f t="shared" si="23"/>
        <v>Gujarat</v>
      </c>
      <c r="AE194" t="str">
        <f t="shared" si="24"/>
        <v>Ahmedabad</v>
      </c>
      <c r="AF194" t="str">
        <f t="shared" si="25"/>
        <v>Furniture</v>
      </c>
      <c r="AG194" t="str">
        <f t="shared" si="26"/>
        <v>Chairs</v>
      </c>
      <c r="AH194" t="str">
        <f t="shared" si="27"/>
        <v>Eco Chairs 438</v>
      </c>
      <c r="AI194" t="str">
        <f t="shared" si="28"/>
        <v>First Class</v>
      </c>
      <c r="AJ194" s="3" t="str">
        <f t="shared" si="29"/>
        <v>Invalid</v>
      </c>
      <c r="AK194" t="str">
        <f t="shared" si="30"/>
        <v>invalid date</v>
      </c>
    </row>
    <row r="195" spans="1:37">
      <c r="A195" t="s">
        <v>1040</v>
      </c>
      <c r="B195" t="s">
        <v>1041</v>
      </c>
      <c r="C195" t="s">
        <v>1042</v>
      </c>
      <c r="D195" t="s">
        <v>1043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1044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  <c r="W195" t="s">
        <v>1040</v>
      </c>
      <c r="X195" t="str">
        <v>23-06-24</v>
      </c>
      <c r="Y195" t="str">
        <v>28-06-24</v>
      </c>
      <c r="Z195" t="s">
        <v>1043</v>
      </c>
      <c r="AA195" t="str">
        <v>Priya Menon</v>
      </c>
      <c r="AB195" t="str">
        <f t="shared" ref="AB195:AB258" si="31">TRIM(PROPER(F:F))</f>
        <v>Small Business</v>
      </c>
      <c r="AC195" t="str">
        <f t="shared" ref="AC195:AC258" si="32">TRIM(PROPER(G:G))</f>
        <v>North</v>
      </c>
      <c r="AD195" t="str">
        <f t="shared" ref="AD195:AD258" si="33">TRIM(PROPER(H:H))</f>
        <v>Punjab</v>
      </c>
      <c r="AE195" t="str">
        <f t="shared" ref="AE195:AE258" si="34">TRIM(PROPER(I:I))</f>
        <v>Ludhiana</v>
      </c>
      <c r="AF195" t="str">
        <f t="shared" ref="AF195:AF258" si="35">TRIM(PROPER(J:J))</f>
        <v>Technology</v>
      </c>
      <c r="AG195" t="str">
        <f t="shared" ref="AG195:AG258" si="36">TRIM(PROPER(K:K))</f>
        <v>Copiers</v>
      </c>
      <c r="AH195" t="str">
        <f t="shared" ref="AH195:AH258" si="37">TRIM(PROPER(L:L))</f>
        <v>Prime Copiers 142</v>
      </c>
      <c r="AI195" t="str">
        <f t="shared" ref="AI195:AI258" si="38">TRIM(PROPER(M:M))</f>
        <v>Same Day</v>
      </c>
      <c r="AJ195" s="3" t="str">
        <f t="shared" ref="AJ195:AJ258" si="39">IF(OR(X:X="Invalid Date",Y:Y="Invalid Date"),"Invalid",(IF(X:X&lt;Y:Y,"anomaly", "  ")))</f>
        <v>anomaly</v>
      </c>
      <c r="AK195">
        <f t="shared" ref="AK195:AK258" si="40">IFERROR(Y195-X195, "invalid date")</f>
        <v>5</v>
      </c>
    </row>
    <row r="196" spans="1:37">
      <c r="A196" t="s">
        <v>1045</v>
      </c>
      <c r="B196" t="s">
        <v>1046</v>
      </c>
      <c r="C196" t="s">
        <v>1047</v>
      </c>
      <c r="D196" t="s">
        <v>1048</v>
      </c>
      <c r="E196" t="s">
        <v>142</v>
      </c>
      <c r="F196" t="s">
        <v>26</v>
      </c>
      <c r="G196" t="s">
        <v>1049</v>
      </c>
      <c r="H196" t="s">
        <v>74</v>
      </c>
      <c r="I196" t="s">
        <v>75</v>
      </c>
      <c r="J196" t="s">
        <v>45</v>
      </c>
      <c r="K196" t="s">
        <v>65</v>
      </c>
      <c r="L196" t="s">
        <v>1050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  <c r="W196" t="s">
        <v>1045</v>
      </c>
      <c r="X196" t="str">
        <v>28-01-25</v>
      </c>
      <c r="Y196" t="str">
        <v>invalid date</v>
      </c>
      <c r="Z196" t="s">
        <v>1048</v>
      </c>
      <c r="AA196" t="str">
        <v>Priya Menon</v>
      </c>
      <c r="AB196" t="str">
        <f t="shared" si="31"/>
        <v>Consumer</v>
      </c>
      <c r="AC196" t="str">
        <f t="shared" si="32"/>
        <v>West</v>
      </c>
      <c r="AD196" t="str">
        <f t="shared" si="33"/>
        <v>Maharashtra</v>
      </c>
      <c r="AE196" t="str">
        <f t="shared" si="34"/>
        <v>Mumbai</v>
      </c>
      <c r="AF196" t="str">
        <f t="shared" si="35"/>
        <v>Furniture</v>
      </c>
      <c r="AG196" t="str">
        <f t="shared" si="36"/>
        <v>Furnishings</v>
      </c>
      <c r="AH196" t="str">
        <f t="shared" si="37"/>
        <v>Prime Furnishings 433</v>
      </c>
      <c r="AI196" t="str">
        <f t="shared" si="38"/>
        <v>First Class</v>
      </c>
      <c r="AJ196" s="3" t="str">
        <f t="shared" si="39"/>
        <v>Invalid</v>
      </c>
      <c r="AK196" t="str">
        <f t="shared" si="40"/>
        <v>invalid date</v>
      </c>
    </row>
    <row r="197" spans="1:37">
      <c r="A197" t="s">
        <v>1051</v>
      </c>
      <c r="B197" t="s">
        <v>1052</v>
      </c>
      <c r="C197" t="s">
        <v>1053</v>
      </c>
      <c r="D197" t="s">
        <v>1054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1055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  <c r="W197" t="s">
        <v>1051</v>
      </c>
      <c r="X197" t="str">
        <v>22-07-25</v>
      </c>
      <c r="Y197" t="str">
        <v>invalid date</v>
      </c>
      <c r="Z197" t="s">
        <v>1054</v>
      </c>
      <c r="AA197" t="str">
        <v>Neha Gupta</v>
      </c>
      <c r="AB197" t="str">
        <f t="shared" si="31"/>
        <v>Home Office</v>
      </c>
      <c r="AC197" t="str">
        <f t="shared" si="32"/>
        <v>South</v>
      </c>
      <c r="AD197" t="str">
        <f t="shared" si="33"/>
        <v>Andhra Pradesh</v>
      </c>
      <c r="AE197" t="str">
        <f t="shared" si="34"/>
        <v>Vijayawada</v>
      </c>
      <c r="AF197" t="str">
        <f t="shared" si="35"/>
        <v>Furniture</v>
      </c>
      <c r="AG197" t="str">
        <f t="shared" si="36"/>
        <v>Furnishings</v>
      </c>
      <c r="AH197" t="str">
        <f t="shared" si="37"/>
        <v>Smart Furnishings 685</v>
      </c>
      <c r="AI197" t="str">
        <f t="shared" si="38"/>
        <v>Same Day</v>
      </c>
      <c r="AJ197" s="3" t="str">
        <f t="shared" si="39"/>
        <v>Invalid</v>
      </c>
      <c r="AK197" t="str">
        <f t="shared" si="40"/>
        <v>invalid date</v>
      </c>
    </row>
    <row r="198" spans="1:37">
      <c r="A198" t="s">
        <v>1056</v>
      </c>
      <c r="B198" t="s">
        <v>1057</v>
      </c>
      <c r="C198" t="s">
        <v>1058</v>
      </c>
      <c r="D198" t="s">
        <v>1059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1060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  <c r="W198" t="s">
        <v>1056</v>
      </c>
      <c r="X198" t="str">
        <v>22-01-24</v>
      </c>
      <c r="Y198" t="str">
        <v>25-01-24</v>
      </c>
      <c r="Z198" t="s">
        <v>1059</v>
      </c>
      <c r="AA198" t="str">
        <v>Kabir Singh</v>
      </c>
      <c r="AB198" t="str">
        <f t="shared" si="31"/>
        <v>Home Office</v>
      </c>
      <c r="AC198" t="str">
        <f t="shared" si="32"/>
        <v>North</v>
      </c>
      <c r="AD198" t="str">
        <f t="shared" si="33"/>
        <v>Uttar Pradesh</v>
      </c>
      <c r="AE198" t="str">
        <f t="shared" si="34"/>
        <v>Noida</v>
      </c>
      <c r="AF198" t="str">
        <f t="shared" si="35"/>
        <v>Office Supplies</v>
      </c>
      <c r="AG198" t="str">
        <f t="shared" si="36"/>
        <v>Storage</v>
      </c>
      <c r="AH198" t="str">
        <f t="shared" si="37"/>
        <v>Elite Storage 915</v>
      </c>
      <c r="AI198" t="str">
        <f t="shared" si="38"/>
        <v>First Class</v>
      </c>
      <c r="AJ198" s="3" t="str">
        <f t="shared" si="39"/>
        <v>anomaly</v>
      </c>
      <c r="AK198">
        <f t="shared" si="40"/>
        <v>3</v>
      </c>
    </row>
    <row r="199" spans="1:37">
      <c r="A199" t="s">
        <v>1061</v>
      </c>
      <c r="B199" t="s">
        <v>369</v>
      </c>
      <c r="C199" t="s">
        <v>1062</v>
      </c>
      <c r="D199" t="s">
        <v>564</v>
      </c>
      <c r="E199" t="s">
        <v>148</v>
      </c>
      <c r="F199" t="s">
        <v>700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1063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  <c r="W199" t="s">
        <v>1061</v>
      </c>
      <c r="X199" t="str">
        <v>31-03-25</v>
      </c>
      <c r="Y199" t="str">
        <v>07-04-25</v>
      </c>
      <c r="Z199" t="s">
        <v>564</v>
      </c>
      <c r="AA199" t="str">
        <v>Rahul Verma</v>
      </c>
      <c r="AB199" t="str">
        <f t="shared" si="31"/>
        <v>Small Business</v>
      </c>
      <c r="AC199" t="str">
        <f t="shared" si="32"/>
        <v>East</v>
      </c>
      <c r="AD199" t="str">
        <f t="shared" si="33"/>
        <v>Bihar</v>
      </c>
      <c r="AE199" t="str">
        <f t="shared" si="34"/>
        <v>Patna</v>
      </c>
      <c r="AF199" t="str">
        <f t="shared" si="35"/>
        <v>Office Supplies</v>
      </c>
      <c r="AG199" t="str">
        <f t="shared" si="36"/>
        <v>Storage</v>
      </c>
      <c r="AH199" t="str">
        <f t="shared" si="37"/>
        <v>Basic Storage 961</v>
      </c>
      <c r="AI199" t="str">
        <f t="shared" si="38"/>
        <v>Second Class</v>
      </c>
      <c r="AJ199" s="3" t="str">
        <f t="shared" si="39"/>
        <v xml:space="preserve">  </v>
      </c>
      <c r="AK199">
        <f t="shared" si="40"/>
        <v>7</v>
      </c>
    </row>
    <row r="200" spans="1:37">
      <c r="A200" t="s">
        <v>1064</v>
      </c>
      <c r="B200" t="s">
        <v>1065</v>
      </c>
      <c r="C200" t="s">
        <v>1066</v>
      </c>
      <c r="D200" t="s">
        <v>1067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1068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  <c r="W200" t="s">
        <v>1064</v>
      </c>
      <c r="X200" t="str">
        <v>05-06-24</v>
      </c>
      <c r="Y200" t="str">
        <v>06-06-24</v>
      </c>
      <c r="Z200" t="s">
        <v>1067</v>
      </c>
      <c r="AA200" t="str">
        <v>Sneha Kapoor</v>
      </c>
      <c r="AB200" t="str">
        <f t="shared" si="31"/>
        <v>Consumer</v>
      </c>
      <c r="AC200" t="str">
        <f t="shared" si="32"/>
        <v>West</v>
      </c>
      <c r="AD200" t="str">
        <f t="shared" si="33"/>
        <v>Gujarat</v>
      </c>
      <c r="AE200" t="str">
        <f t="shared" si="34"/>
        <v>Ahmedabad</v>
      </c>
      <c r="AF200" t="str">
        <f t="shared" si="35"/>
        <v>Office Supplies</v>
      </c>
      <c r="AG200" t="str">
        <f t="shared" si="36"/>
        <v>Art</v>
      </c>
      <c r="AH200" t="str">
        <f t="shared" si="37"/>
        <v>Classic Art 968</v>
      </c>
      <c r="AI200" t="str">
        <f t="shared" si="38"/>
        <v>Second Class</v>
      </c>
      <c r="AJ200" s="3" t="str">
        <f t="shared" si="39"/>
        <v>anomaly</v>
      </c>
      <c r="AK200">
        <f t="shared" si="40"/>
        <v>1</v>
      </c>
    </row>
    <row r="201" spans="1:37">
      <c r="A201" t="s">
        <v>1069</v>
      </c>
      <c r="B201" t="s">
        <v>303</v>
      </c>
      <c r="C201" t="s">
        <v>1070</v>
      </c>
      <c r="D201" t="s">
        <v>1071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1072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  <c r="W201" t="s">
        <v>1069</v>
      </c>
      <c r="X201" t="str">
        <v>03-12-24</v>
      </c>
      <c r="Y201" t="str">
        <v>12-03-24</v>
      </c>
      <c r="Z201" t="s">
        <v>1071</v>
      </c>
      <c r="AA201" t="str">
        <v>Rahul Verma</v>
      </c>
      <c r="AB201" t="str">
        <f t="shared" si="31"/>
        <v>Home Office</v>
      </c>
      <c r="AC201" t="str">
        <f t="shared" si="32"/>
        <v>East</v>
      </c>
      <c r="AD201" t="str">
        <f t="shared" si="33"/>
        <v>Bihar</v>
      </c>
      <c r="AE201" t="str">
        <f t="shared" si="34"/>
        <v>Patna</v>
      </c>
      <c r="AF201" t="str">
        <f t="shared" si="35"/>
        <v>Technology</v>
      </c>
      <c r="AG201" t="str">
        <f t="shared" si="36"/>
        <v>Machines</v>
      </c>
      <c r="AH201" t="str">
        <f t="shared" si="37"/>
        <v>Prime Machines 806</v>
      </c>
      <c r="AI201" s="5" t="s">
        <v>4116</v>
      </c>
      <c r="AJ201" s="3" t="str">
        <f t="shared" si="39"/>
        <v>anomaly</v>
      </c>
      <c r="AK201">
        <f t="shared" si="40"/>
        <v>-266</v>
      </c>
    </row>
    <row r="202" spans="1:37">
      <c r="A202" t="s">
        <v>1073</v>
      </c>
      <c r="B202" t="s">
        <v>996</v>
      </c>
      <c r="C202" t="s">
        <v>1074</v>
      </c>
      <c r="D202" t="s">
        <v>1075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1076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  <c r="W202" t="s">
        <v>1073</v>
      </c>
      <c r="X202" t="str">
        <v>27-06-25</v>
      </c>
      <c r="Y202" t="str">
        <v>05-07-25</v>
      </c>
      <c r="Z202" t="s">
        <v>1075</v>
      </c>
      <c r="AA202" t="str">
        <v>Priya Menon</v>
      </c>
      <c r="AB202" t="str">
        <f t="shared" si="31"/>
        <v>Small Business</v>
      </c>
      <c r="AC202" t="str">
        <f t="shared" si="32"/>
        <v>North</v>
      </c>
      <c r="AD202" t="str">
        <f t="shared" si="33"/>
        <v>Rajasthan</v>
      </c>
      <c r="AE202" t="str">
        <f t="shared" si="34"/>
        <v>Jaipur</v>
      </c>
      <c r="AF202" t="str">
        <f t="shared" si="35"/>
        <v>Technology</v>
      </c>
      <c r="AG202" t="str">
        <f t="shared" si="36"/>
        <v>Copiers</v>
      </c>
      <c r="AH202" t="str">
        <f t="shared" si="37"/>
        <v>Classic Copiers 479</v>
      </c>
      <c r="AI202" t="str">
        <f t="shared" si="38"/>
        <v>First Class</v>
      </c>
      <c r="AJ202" s="3" t="str">
        <f t="shared" si="39"/>
        <v xml:space="preserve">  </v>
      </c>
      <c r="AK202">
        <f t="shared" si="40"/>
        <v>8</v>
      </c>
    </row>
    <row r="203" spans="1:37">
      <c r="A203" t="s">
        <v>1077</v>
      </c>
      <c r="B203" t="s">
        <v>1078</v>
      </c>
      <c r="C203" t="s">
        <v>1079</v>
      </c>
      <c r="D203" t="s">
        <v>1080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1081</v>
      </c>
      <c r="M203" t="s">
        <v>33</v>
      </c>
      <c r="N203">
        <v>2</v>
      </c>
      <c r="O203">
        <v>2503.5300000000002</v>
      </c>
      <c r="P203" s="5" t="s">
        <v>4117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  <c r="W203" t="s">
        <v>1077</v>
      </c>
      <c r="X203" t="str">
        <v>26-07-25</v>
      </c>
      <c r="Y203" t="str">
        <v>08-03-25</v>
      </c>
      <c r="Z203" t="s">
        <v>1080</v>
      </c>
      <c r="AA203" t="str">
        <v>Vikram Iyer</v>
      </c>
      <c r="AB203" t="str">
        <f t="shared" si="31"/>
        <v>Consumer</v>
      </c>
      <c r="AC203" t="str">
        <f t="shared" si="32"/>
        <v>West</v>
      </c>
      <c r="AD203" t="str">
        <f t="shared" si="33"/>
        <v>Madhya Pradesh</v>
      </c>
      <c r="AE203" t="str">
        <f t="shared" si="34"/>
        <v>Indore</v>
      </c>
      <c r="AF203" t="str">
        <f t="shared" si="35"/>
        <v>Office Supplies</v>
      </c>
      <c r="AG203" t="str">
        <f t="shared" si="36"/>
        <v>Labels</v>
      </c>
      <c r="AH203" t="str">
        <f t="shared" si="37"/>
        <v>Basic Labels 511</v>
      </c>
      <c r="AI203" t="str">
        <f t="shared" si="38"/>
        <v>Second Class</v>
      </c>
      <c r="AJ203" s="3" t="str">
        <f t="shared" si="39"/>
        <v xml:space="preserve">  </v>
      </c>
      <c r="AK203">
        <f t="shared" si="40"/>
        <v>-140</v>
      </c>
    </row>
    <row r="204" spans="1:37">
      <c r="A204" t="s">
        <v>1082</v>
      </c>
      <c r="B204" t="s">
        <v>1083</v>
      </c>
      <c r="C204" t="s">
        <v>1084</v>
      </c>
      <c r="D204" t="s">
        <v>1085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1086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  <c r="W204" t="s">
        <v>1082</v>
      </c>
      <c r="X204" t="str">
        <v>28-03-25</v>
      </c>
      <c r="Y204" t="str">
        <v>28-03-25</v>
      </c>
      <c r="Z204" t="s">
        <v>1085</v>
      </c>
      <c r="AA204" t="str">
        <v>Sneha Kapoor</v>
      </c>
      <c r="AB204" t="str">
        <f t="shared" si="31"/>
        <v>Corporate</v>
      </c>
      <c r="AC204" t="str">
        <f t="shared" si="32"/>
        <v>West</v>
      </c>
      <c r="AD204" t="str">
        <f t="shared" si="33"/>
        <v>Goa</v>
      </c>
      <c r="AE204" t="str">
        <f t="shared" si="34"/>
        <v>Panaji</v>
      </c>
      <c r="AF204" t="str">
        <f t="shared" si="35"/>
        <v>Technology</v>
      </c>
      <c r="AG204" t="str">
        <f t="shared" si="36"/>
        <v>Accessories</v>
      </c>
      <c r="AH204" t="str">
        <f t="shared" si="37"/>
        <v>Prime Accessories 733</v>
      </c>
      <c r="AI204" t="str">
        <f t="shared" si="38"/>
        <v>Standard Class</v>
      </c>
      <c r="AJ204" s="3" t="str">
        <f t="shared" si="39"/>
        <v xml:space="preserve">  </v>
      </c>
      <c r="AK204">
        <f t="shared" si="40"/>
        <v>0</v>
      </c>
    </row>
    <row r="205" spans="1:37">
      <c r="A205" t="s">
        <v>1087</v>
      </c>
      <c r="B205" t="s">
        <v>1088</v>
      </c>
      <c r="C205" t="s">
        <v>1089</v>
      </c>
      <c r="D205" t="s">
        <v>1090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1091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  <c r="W205" t="s">
        <v>1087</v>
      </c>
      <c r="X205" t="str">
        <v>28-03-24</v>
      </c>
      <c r="Y205" t="str">
        <v>30-03-24</v>
      </c>
      <c r="Z205" t="s">
        <v>1090</v>
      </c>
      <c r="AA205" t="str">
        <v>Sneha Kapoor</v>
      </c>
      <c r="AB205" t="str">
        <f t="shared" si="31"/>
        <v>Corporate</v>
      </c>
      <c r="AC205" t="str">
        <f t="shared" si="32"/>
        <v>West</v>
      </c>
      <c r="AD205" t="str">
        <f t="shared" si="33"/>
        <v>Rajasthan</v>
      </c>
      <c r="AE205" t="str">
        <f t="shared" si="34"/>
        <v>Udaipur</v>
      </c>
      <c r="AF205" t="str">
        <f t="shared" si="35"/>
        <v>Technology</v>
      </c>
      <c r="AG205" t="str">
        <f t="shared" si="36"/>
        <v>Accessories</v>
      </c>
      <c r="AH205" t="str">
        <f t="shared" si="37"/>
        <v>Max Accessories 186</v>
      </c>
      <c r="AI205" t="str">
        <f t="shared" si="38"/>
        <v>Second Class</v>
      </c>
      <c r="AJ205" s="3" t="str">
        <f t="shared" si="39"/>
        <v>anomaly</v>
      </c>
      <c r="AK205">
        <f t="shared" si="40"/>
        <v>2</v>
      </c>
    </row>
    <row r="206" spans="1:37">
      <c r="A206" t="s">
        <v>1092</v>
      </c>
      <c r="B206" t="s">
        <v>1093</v>
      </c>
      <c r="C206" t="s">
        <v>1094</v>
      </c>
      <c r="D206" t="s">
        <v>1095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1096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  <c r="W206" t="s">
        <v>1092</v>
      </c>
      <c r="X206" t="str">
        <v>20-07-25</v>
      </c>
      <c r="Y206" t="str">
        <v>23-07-25</v>
      </c>
      <c r="Z206" t="s">
        <v>1095</v>
      </c>
      <c r="AA206" t="str">
        <v>Mira Das</v>
      </c>
      <c r="AB206" t="str">
        <f t="shared" si="31"/>
        <v>Home Office</v>
      </c>
      <c r="AC206" t="str">
        <f t="shared" si="32"/>
        <v>East</v>
      </c>
      <c r="AD206" t="str">
        <f t="shared" si="33"/>
        <v>West Bengal</v>
      </c>
      <c r="AE206" t="str">
        <f t="shared" si="34"/>
        <v>Kolkata</v>
      </c>
      <c r="AF206" t="str">
        <f t="shared" si="35"/>
        <v>Furniture</v>
      </c>
      <c r="AG206" t="str">
        <f t="shared" si="36"/>
        <v>Tables</v>
      </c>
      <c r="AH206" t="str">
        <f t="shared" si="37"/>
        <v>Elite Tables 318</v>
      </c>
      <c r="AI206" t="str">
        <f t="shared" si="38"/>
        <v>Second Class</v>
      </c>
      <c r="AJ206" s="3" t="str">
        <f t="shared" si="39"/>
        <v>anomaly</v>
      </c>
      <c r="AK206">
        <f t="shared" si="40"/>
        <v>3</v>
      </c>
    </row>
    <row r="207" spans="1:37">
      <c r="A207" t="s">
        <v>1097</v>
      </c>
      <c r="B207" t="s">
        <v>1098</v>
      </c>
      <c r="C207" t="s">
        <v>1099</v>
      </c>
      <c r="D207" t="s">
        <v>1100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917</v>
      </c>
      <c r="K207" t="s">
        <v>109</v>
      </c>
      <c r="L207" t="s">
        <v>1101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  <c r="W207" t="s">
        <v>1097</v>
      </c>
      <c r="X207" t="str">
        <v>21-04-25</v>
      </c>
      <c r="Y207" t="str">
        <v>invalid date</v>
      </c>
      <c r="Z207" t="s">
        <v>1100</v>
      </c>
      <c r="AA207" t="str">
        <v>Ananya Rao</v>
      </c>
      <c r="AB207" t="str">
        <f t="shared" si="31"/>
        <v>Consumer</v>
      </c>
      <c r="AC207" t="str">
        <f t="shared" si="32"/>
        <v>West</v>
      </c>
      <c r="AD207" t="str">
        <f t="shared" si="33"/>
        <v>Maharashtra</v>
      </c>
      <c r="AE207" t="str">
        <f t="shared" si="34"/>
        <v>Mumbai</v>
      </c>
      <c r="AF207" t="str">
        <f t="shared" si="35"/>
        <v>Office Supplies</v>
      </c>
      <c r="AG207" t="str">
        <f t="shared" si="36"/>
        <v>Labels</v>
      </c>
      <c r="AH207" t="str">
        <f t="shared" si="37"/>
        <v>Smart Labels 354</v>
      </c>
      <c r="AI207" t="str">
        <f t="shared" si="38"/>
        <v>Same Day</v>
      </c>
      <c r="AJ207" s="3" t="str">
        <f t="shared" si="39"/>
        <v>Invalid</v>
      </c>
      <c r="AK207" t="str">
        <f t="shared" si="40"/>
        <v>invalid date</v>
      </c>
    </row>
    <row r="208" spans="1:37">
      <c r="A208" t="s">
        <v>1102</v>
      </c>
      <c r="B208" t="s">
        <v>1103</v>
      </c>
      <c r="C208" t="s">
        <v>118</v>
      </c>
      <c r="D208" t="s">
        <v>1104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1105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  <c r="W208" t="s">
        <v>1102</v>
      </c>
      <c r="X208" t="str">
        <v>invalid date</v>
      </c>
      <c r="Y208" t="str">
        <v>20-05-25</v>
      </c>
      <c r="Z208" t="s">
        <v>1104</v>
      </c>
      <c r="AA208" t="str">
        <v>Diya Patel</v>
      </c>
      <c r="AB208" t="str">
        <f t="shared" si="31"/>
        <v>Small Business</v>
      </c>
      <c r="AC208" t="str">
        <f t="shared" si="32"/>
        <v>North</v>
      </c>
      <c r="AD208" t="str">
        <f t="shared" si="33"/>
        <v>Uttar Pradesh</v>
      </c>
      <c r="AE208" t="str">
        <f t="shared" si="34"/>
        <v>Noida</v>
      </c>
      <c r="AF208" t="str">
        <f t="shared" si="35"/>
        <v>Furniture</v>
      </c>
      <c r="AG208" t="str">
        <f t="shared" si="36"/>
        <v>Furnishings</v>
      </c>
      <c r="AH208" t="str">
        <f t="shared" si="37"/>
        <v>Pro Furnishings 981</v>
      </c>
      <c r="AI208" t="str">
        <f t="shared" si="38"/>
        <v>First Class</v>
      </c>
      <c r="AJ208" s="3" t="str">
        <f t="shared" si="39"/>
        <v>Invalid</v>
      </c>
      <c r="AK208" t="str">
        <f t="shared" si="40"/>
        <v>invalid date</v>
      </c>
    </row>
    <row r="209" spans="1:37">
      <c r="A209" t="s">
        <v>1106</v>
      </c>
      <c r="B209" t="s">
        <v>1107</v>
      </c>
      <c r="C209" t="s">
        <v>1108</v>
      </c>
      <c r="D209" t="s">
        <v>1109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1110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  <c r="W209" t="s">
        <v>1106</v>
      </c>
      <c r="X209" t="str">
        <v>10-07-24</v>
      </c>
      <c r="Y209" t="str">
        <v>16-07-24</v>
      </c>
      <c r="Z209" t="s">
        <v>1109</v>
      </c>
      <c r="AA209" t="str">
        <v>Aarav Sharma</v>
      </c>
      <c r="AB209" t="str">
        <f t="shared" si="31"/>
        <v>Home Office</v>
      </c>
      <c r="AC209" t="str">
        <f t="shared" si="32"/>
        <v>West</v>
      </c>
      <c r="AD209" t="str">
        <f t="shared" si="33"/>
        <v>Goa</v>
      </c>
      <c r="AE209" t="str">
        <f t="shared" si="34"/>
        <v>Panaji</v>
      </c>
      <c r="AF209" t="str">
        <f t="shared" si="35"/>
        <v>Furniture</v>
      </c>
      <c r="AG209" t="str">
        <f t="shared" si="36"/>
        <v>Bookcases</v>
      </c>
      <c r="AH209" t="str">
        <f t="shared" si="37"/>
        <v>Eco Bookcases 671</v>
      </c>
      <c r="AI209" t="str">
        <f t="shared" si="38"/>
        <v>Second Class</v>
      </c>
      <c r="AJ209" s="3" t="str">
        <f t="shared" si="39"/>
        <v>anomaly</v>
      </c>
      <c r="AK209">
        <f t="shared" si="40"/>
        <v>6</v>
      </c>
    </row>
    <row r="210" spans="1:37">
      <c r="A210" t="s">
        <v>1111</v>
      </c>
      <c r="B210" t="s">
        <v>1112</v>
      </c>
      <c r="C210" t="s">
        <v>1113</v>
      </c>
      <c r="D210" t="s">
        <v>1114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1115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  <c r="W210" t="s">
        <v>1111</v>
      </c>
      <c r="X210" t="str">
        <v>invalid date</v>
      </c>
      <c r="Y210" t="str">
        <v>05-07-25</v>
      </c>
      <c r="Z210" t="s">
        <v>1114</v>
      </c>
      <c r="AA210" t="str">
        <v>Diya Patel</v>
      </c>
      <c r="AB210" t="str">
        <f t="shared" si="31"/>
        <v>Consumer</v>
      </c>
      <c r="AC210" t="str">
        <f t="shared" si="32"/>
        <v>North</v>
      </c>
      <c r="AD210" t="str">
        <f t="shared" si="33"/>
        <v>Punjab</v>
      </c>
      <c r="AE210" t="str">
        <f t="shared" si="34"/>
        <v>Ludhiana</v>
      </c>
      <c r="AF210" t="str">
        <f t="shared" si="35"/>
        <v>Furniture</v>
      </c>
      <c r="AG210" t="str">
        <f t="shared" si="36"/>
        <v>Chairs</v>
      </c>
      <c r="AH210" t="str">
        <f t="shared" si="37"/>
        <v>Max Chairs 151</v>
      </c>
      <c r="AI210" t="str">
        <f t="shared" si="38"/>
        <v>Same Day</v>
      </c>
      <c r="AJ210" s="3" t="str">
        <f t="shared" si="39"/>
        <v>Invalid</v>
      </c>
      <c r="AK210" t="str">
        <f t="shared" si="40"/>
        <v>invalid date</v>
      </c>
    </row>
    <row r="211" spans="1:37">
      <c r="A211" t="s">
        <v>1116</v>
      </c>
      <c r="B211" t="s">
        <v>1117</v>
      </c>
      <c r="C211" t="s">
        <v>1118</v>
      </c>
      <c r="D211" t="s">
        <v>1119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1120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  <c r="W211" t="s">
        <v>1116</v>
      </c>
      <c r="X211" t="str">
        <v>invalid date</v>
      </c>
      <c r="Y211" t="str">
        <v>invalid date</v>
      </c>
      <c r="Z211" t="s">
        <v>1119</v>
      </c>
      <c r="AA211" t="str">
        <v>Rohan Mehta</v>
      </c>
      <c r="AB211" t="str">
        <f t="shared" si="31"/>
        <v>Small Business</v>
      </c>
      <c r="AC211" t="str">
        <f t="shared" si="32"/>
        <v>South</v>
      </c>
      <c r="AD211" t="str">
        <f t="shared" si="33"/>
        <v>Andhra Pradesh</v>
      </c>
      <c r="AE211" t="str">
        <f t="shared" si="34"/>
        <v>Vijayawada</v>
      </c>
      <c r="AF211" t="str">
        <f t="shared" si="35"/>
        <v>Office Supplies</v>
      </c>
      <c r="AG211" t="str">
        <f t="shared" si="36"/>
        <v>Paper</v>
      </c>
      <c r="AH211" t="str">
        <f t="shared" si="37"/>
        <v>Prime Paper 903</v>
      </c>
      <c r="AI211" t="str">
        <f t="shared" si="38"/>
        <v>First Class</v>
      </c>
      <c r="AJ211" s="3" t="str">
        <f t="shared" si="39"/>
        <v>Invalid</v>
      </c>
      <c r="AK211" t="str">
        <f t="shared" si="40"/>
        <v>invalid date</v>
      </c>
    </row>
    <row r="212" spans="1:37">
      <c r="A212" t="s">
        <v>1121</v>
      </c>
      <c r="B212" t="s">
        <v>1122</v>
      </c>
      <c r="C212" t="s">
        <v>1123</v>
      </c>
      <c r="D212" t="s">
        <v>1124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1125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  <c r="W212" t="s">
        <v>1121</v>
      </c>
      <c r="X212" t="str">
        <v>invalid date</v>
      </c>
      <c r="Y212" t="str">
        <v>18-03-24</v>
      </c>
      <c r="Z212" t="s">
        <v>1124</v>
      </c>
      <c r="AA212" t="str">
        <v>Kabir Singh</v>
      </c>
      <c r="AB212" t="str">
        <f t="shared" si="31"/>
        <v>Home Office</v>
      </c>
      <c r="AC212" t="str">
        <f t="shared" si="32"/>
        <v>South</v>
      </c>
      <c r="AD212" t="str">
        <f t="shared" si="33"/>
        <v>Karnataka</v>
      </c>
      <c r="AE212" t="str">
        <f t="shared" si="34"/>
        <v>Bengaluru</v>
      </c>
      <c r="AF212" t="str">
        <f t="shared" si="35"/>
        <v>Technology</v>
      </c>
      <c r="AG212" t="str">
        <f t="shared" si="36"/>
        <v>Machines</v>
      </c>
      <c r="AH212" t="str">
        <f t="shared" si="37"/>
        <v>Classic Machines 944</v>
      </c>
      <c r="AI212" t="str">
        <f t="shared" si="38"/>
        <v>Second Class</v>
      </c>
      <c r="AJ212" s="3" t="str">
        <f t="shared" si="39"/>
        <v>Invalid</v>
      </c>
      <c r="AK212" t="str">
        <f t="shared" si="40"/>
        <v>invalid date</v>
      </c>
    </row>
    <row r="213" spans="1:37">
      <c r="A213" t="s">
        <v>1126</v>
      </c>
      <c r="B213" t="s">
        <v>1127</v>
      </c>
      <c r="C213" t="s">
        <v>1128</v>
      </c>
      <c r="D213" t="s">
        <v>1129</v>
      </c>
      <c r="E213" t="s">
        <v>180</v>
      </c>
      <c r="F213" t="s">
        <v>108</v>
      </c>
      <c r="G213" t="s">
        <v>1130</v>
      </c>
      <c r="H213" t="s">
        <v>121</v>
      </c>
      <c r="I213" t="s">
        <v>122</v>
      </c>
      <c r="J213" t="s">
        <v>86</v>
      </c>
      <c r="K213" t="s">
        <v>94</v>
      </c>
      <c r="L213" t="s">
        <v>1131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  <c r="W213" t="s">
        <v>1126</v>
      </c>
      <c r="X213" t="str">
        <v>invalid date</v>
      </c>
      <c r="Y213" t="str">
        <v>invalid date</v>
      </c>
      <c r="Z213" t="s">
        <v>1129</v>
      </c>
      <c r="AA213" t="str">
        <v>Rohan Mehta</v>
      </c>
      <c r="AB213" t="str">
        <f t="shared" si="31"/>
        <v>Corporate</v>
      </c>
      <c r="AC213" t="str">
        <f t="shared" si="32"/>
        <v>East</v>
      </c>
      <c r="AD213" t="str">
        <f t="shared" si="33"/>
        <v>West Bengal</v>
      </c>
      <c r="AE213" t="str">
        <f t="shared" si="34"/>
        <v>Kolkata</v>
      </c>
      <c r="AF213" t="str">
        <f t="shared" si="35"/>
        <v>Technology</v>
      </c>
      <c r="AG213" t="str">
        <f t="shared" si="36"/>
        <v>Copiers</v>
      </c>
      <c r="AH213" t="str">
        <f t="shared" si="37"/>
        <v>Basic Copiers 222</v>
      </c>
      <c r="AI213" t="str">
        <f t="shared" si="38"/>
        <v>Second Class</v>
      </c>
      <c r="AJ213" s="3" t="str">
        <f t="shared" si="39"/>
        <v>Invalid</v>
      </c>
      <c r="AK213" t="str">
        <f t="shared" si="40"/>
        <v>invalid date</v>
      </c>
    </row>
    <row r="214" spans="1:37">
      <c r="A214" t="s">
        <v>1132</v>
      </c>
      <c r="B214" t="s">
        <v>1133</v>
      </c>
      <c r="C214" t="s">
        <v>1134</v>
      </c>
      <c r="D214" t="s">
        <v>1135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1136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  <c r="W214" t="s">
        <v>1132</v>
      </c>
      <c r="X214" t="str">
        <v>invalid date</v>
      </c>
      <c r="Y214" t="str">
        <v>21-09-24</v>
      </c>
      <c r="Z214" t="s">
        <v>1135</v>
      </c>
      <c r="AA214" t="str">
        <v>Ananya Rao</v>
      </c>
      <c r="AB214" t="str">
        <f t="shared" si="31"/>
        <v>Small Business</v>
      </c>
      <c r="AC214" t="str">
        <f t="shared" si="32"/>
        <v>East</v>
      </c>
      <c r="AD214" t="str">
        <f t="shared" si="33"/>
        <v>Odisha</v>
      </c>
      <c r="AE214" t="str">
        <f t="shared" si="34"/>
        <v>Bhubaneswar</v>
      </c>
      <c r="AF214" t="str">
        <f t="shared" si="35"/>
        <v>Technology</v>
      </c>
      <c r="AG214" t="str">
        <f t="shared" si="36"/>
        <v>Phones</v>
      </c>
      <c r="AH214" t="str">
        <f t="shared" si="37"/>
        <v>Max Phones 329</v>
      </c>
      <c r="AI214" t="str">
        <f t="shared" si="38"/>
        <v>Same Day</v>
      </c>
      <c r="AJ214" s="3" t="str">
        <f t="shared" si="39"/>
        <v>Invalid</v>
      </c>
      <c r="AK214" t="str">
        <f t="shared" si="40"/>
        <v>invalid date</v>
      </c>
    </row>
    <row r="215" spans="1:37">
      <c r="A215" t="s">
        <v>1137</v>
      </c>
      <c r="B215" t="s">
        <v>1138</v>
      </c>
      <c r="C215" t="s">
        <v>1139</v>
      </c>
      <c r="D215" t="s">
        <v>1140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1141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  <c r="W215" t="s">
        <v>1137</v>
      </c>
      <c r="X215" t="str">
        <v>15-05-24</v>
      </c>
      <c r="Y215" t="str">
        <v>21-05-24</v>
      </c>
      <c r="Z215" t="s">
        <v>1140</v>
      </c>
      <c r="AA215" t="str">
        <v>Isha Nair</v>
      </c>
      <c r="AB215" t="str">
        <f t="shared" si="31"/>
        <v>Small Business</v>
      </c>
      <c r="AC215" t="str">
        <f t="shared" si="32"/>
        <v>East</v>
      </c>
      <c r="AD215" t="str">
        <f t="shared" si="33"/>
        <v>Bihar</v>
      </c>
      <c r="AE215" t="str">
        <f t="shared" si="34"/>
        <v>Patna</v>
      </c>
      <c r="AF215" t="str">
        <f t="shared" si="35"/>
        <v>Technology</v>
      </c>
      <c r="AG215" t="str">
        <f t="shared" si="36"/>
        <v>Accessories</v>
      </c>
      <c r="AH215" t="str">
        <f t="shared" si="37"/>
        <v>Classic Accessories 840</v>
      </c>
      <c r="AI215" t="str">
        <f t="shared" si="38"/>
        <v>Second Class</v>
      </c>
      <c r="AJ215" s="3" t="str">
        <f t="shared" si="39"/>
        <v>anomaly</v>
      </c>
      <c r="AK215">
        <f t="shared" si="40"/>
        <v>6</v>
      </c>
    </row>
    <row r="216" spans="1:37">
      <c r="A216" t="s">
        <v>1142</v>
      </c>
      <c r="B216" t="s">
        <v>1143</v>
      </c>
      <c r="C216" t="s">
        <v>1144</v>
      </c>
      <c r="D216" t="s">
        <v>1145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1146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  <c r="W216" t="s">
        <v>1142</v>
      </c>
      <c r="X216" t="str">
        <v>17-03-24</v>
      </c>
      <c r="Y216" t="str">
        <v>23-03-24</v>
      </c>
      <c r="Z216" t="s">
        <v>1145</v>
      </c>
      <c r="AA216" t="str">
        <v>Rahul Verma</v>
      </c>
      <c r="AB216" t="str">
        <f t="shared" si="31"/>
        <v>Consumer</v>
      </c>
      <c r="AC216" t="str">
        <f t="shared" si="32"/>
        <v>North</v>
      </c>
      <c r="AD216" t="str">
        <f t="shared" si="33"/>
        <v>Haryana</v>
      </c>
      <c r="AE216" t="str">
        <f t="shared" si="34"/>
        <v>Gurugram</v>
      </c>
      <c r="AF216" t="str">
        <f t="shared" si="35"/>
        <v>Technology</v>
      </c>
      <c r="AG216" t="str">
        <f t="shared" si="36"/>
        <v>Accessories</v>
      </c>
      <c r="AH216" t="str">
        <f t="shared" si="37"/>
        <v>Classic Accessories 757</v>
      </c>
      <c r="AI216" t="str">
        <f t="shared" si="38"/>
        <v>First Class</v>
      </c>
      <c r="AJ216" s="3" t="str">
        <f t="shared" si="39"/>
        <v>anomaly</v>
      </c>
      <c r="AK216">
        <f t="shared" si="40"/>
        <v>6</v>
      </c>
    </row>
    <row r="217" spans="1:37">
      <c r="A217" t="s">
        <v>1147</v>
      </c>
      <c r="B217" t="s">
        <v>1148</v>
      </c>
      <c r="C217" t="s">
        <v>207</v>
      </c>
      <c r="D217" t="s">
        <v>1149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1150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  <c r="W217" t="s">
        <v>1147</v>
      </c>
      <c r="X217" t="str">
        <v>01-03-24</v>
      </c>
      <c r="Y217" t="str">
        <v>04-03-24</v>
      </c>
      <c r="Z217" t="s">
        <v>1149</v>
      </c>
      <c r="AA217" t="str">
        <v>Mira Das</v>
      </c>
      <c r="AB217" t="str">
        <f t="shared" si="31"/>
        <v>Consumer</v>
      </c>
      <c r="AC217" t="str">
        <f t="shared" si="32"/>
        <v>West</v>
      </c>
      <c r="AD217" t="str">
        <f t="shared" si="33"/>
        <v>Madhya Pradesh</v>
      </c>
      <c r="AE217" t="str">
        <f t="shared" si="34"/>
        <v>Indore</v>
      </c>
      <c r="AF217" t="str">
        <f t="shared" si="35"/>
        <v>Office Supplies</v>
      </c>
      <c r="AG217" t="str">
        <f t="shared" si="36"/>
        <v>Paper</v>
      </c>
      <c r="AH217" t="str">
        <f t="shared" si="37"/>
        <v>Prime Paper 286</v>
      </c>
      <c r="AI217" t="str">
        <f t="shared" si="38"/>
        <v>First Class</v>
      </c>
      <c r="AJ217" s="3" t="str">
        <f t="shared" si="39"/>
        <v>anomaly</v>
      </c>
      <c r="AK217">
        <f t="shared" si="40"/>
        <v>3</v>
      </c>
    </row>
    <row r="218" spans="1:37">
      <c r="A218" t="s">
        <v>1151</v>
      </c>
      <c r="B218" t="s">
        <v>90</v>
      </c>
      <c r="C218" t="s">
        <v>1152</v>
      </c>
      <c r="D218" t="s">
        <v>1153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1154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  <c r="W218" t="s">
        <v>1151</v>
      </c>
      <c r="X218" t="str">
        <v>04-10-25</v>
      </c>
      <c r="Y218" t="str">
        <v>15-04-25</v>
      </c>
      <c r="Z218" t="s">
        <v>1153</v>
      </c>
      <c r="AA218" t="str">
        <v>Isha Nair</v>
      </c>
      <c r="AB218" t="str">
        <f t="shared" si="31"/>
        <v>Consumer</v>
      </c>
      <c r="AC218" t="str">
        <f t="shared" si="32"/>
        <v>West</v>
      </c>
      <c r="AD218" t="str">
        <f t="shared" si="33"/>
        <v>Gujarat</v>
      </c>
      <c r="AE218" t="str">
        <f t="shared" si="34"/>
        <v>Ahmedabad</v>
      </c>
      <c r="AF218" t="str">
        <f t="shared" si="35"/>
        <v>Furniture</v>
      </c>
      <c r="AG218" t="str">
        <f t="shared" si="36"/>
        <v>Tables</v>
      </c>
      <c r="AH218" t="str">
        <f t="shared" si="37"/>
        <v>Basic Tables 400</v>
      </c>
      <c r="AI218" t="str">
        <f t="shared" si="38"/>
        <v>Standard Class</v>
      </c>
      <c r="AJ218" s="3" t="str">
        <f t="shared" si="39"/>
        <v>anomaly</v>
      </c>
      <c r="AK218">
        <f t="shared" si="40"/>
        <v>-172</v>
      </c>
    </row>
    <row r="219" spans="1:37">
      <c r="A219" t="s">
        <v>1155</v>
      </c>
      <c r="B219" t="s">
        <v>1156</v>
      </c>
      <c r="C219" t="s">
        <v>1157</v>
      </c>
      <c r="D219" t="s">
        <v>1158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1159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  <c r="W219" t="s">
        <v>1155</v>
      </c>
      <c r="X219" t="str">
        <v>01-04-25</v>
      </c>
      <c r="Y219" t="str">
        <v>04-08-25</v>
      </c>
      <c r="Z219" t="s">
        <v>1158</v>
      </c>
      <c r="AA219" t="str">
        <v>Aditi Sen</v>
      </c>
      <c r="AB219" t="str">
        <f t="shared" si="31"/>
        <v>Consumer</v>
      </c>
      <c r="AC219" t="str">
        <f t="shared" si="32"/>
        <v>East</v>
      </c>
      <c r="AD219" t="str">
        <f t="shared" si="33"/>
        <v>Odisha</v>
      </c>
      <c r="AE219" t="str">
        <f t="shared" si="34"/>
        <v>Bhubaneswar</v>
      </c>
      <c r="AF219" t="str">
        <f t="shared" si="35"/>
        <v>Furniture</v>
      </c>
      <c r="AG219" t="str">
        <f t="shared" si="36"/>
        <v>Bookcases</v>
      </c>
      <c r="AH219" t="str">
        <f t="shared" si="37"/>
        <v>Basic Bookcases 405</v>
      </c>
      <c r="AI219" t="str">
        <f t="shared" si="38"/>
        <v>Second Class</v>
      </c>
      <c r="AJ219" s="3" t="str">
        <f t="shared" si="39"/>
        <v>anomaly</v>
      </c>
      <c r="AK219">
        <f t="shared" si="40"/>
        <v>125</v>
      </c>
    </row>
    <row r="220" spans="1:37">
      <c r="A220" t="s">
        <v>1160</v>
      </c>
      <c r="B220" t="s">
        <v>1161</v>
      </c>
      <c r="C220" t="s">
        <v>1162</v>
      </c>
      <c r="D220" t="s">
        <v>1163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1164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  <c r="W220" t="s">
        <v>1160</v>
      </c>
      <c r="X220" t="str">
        <v>26-02-25</v>
      </c>
      <c r="Y220" t="str">
        <v>27-02-25</v>
      </c>
      <c r="Z220" t="s">
        <v>1163</v>
      </c>
      <c r="AA220" t="str">
        <v>Priya Menon</v>
      </c>
      <c r="AB220" t="str">
        <f t="shared" si="31"/>
        <v>Corporate</v>
      </c>
      <c r="AC220" t="str">
        <f t="shared" si="32"/>
        <v>West</v>
      </c>
      <c r="AD220" t="str">
        <f t="shared" si="33"/>
        <v>Gujarat</v>
      </c>
      <c r="AE220" t="str">
        <f t="shared" si="34"/>
        <v>Ahmedabad</v>
      </c>
      <c r="AF220" t="str">
        <f t="shared" si="35"/>
        <v>Furniture</v>
      </c>
      <c r="AG220" t="str">
        <f t="shared" si="36"/>
        <v>Bookcases</v>
      </c>
      <c r="AH220" t="str">
        <f t="shared" si="37"/>
        <v>Classic Bookcases 139</v>
      </c>
      <c r="AI220" t="str">
        <f t="shared" si="38"/>
        <v>Standard Class</v>
      </c>
      <c r="AJ220" s="3" t="str">
        <f t="shared" si="39"/>
        <v>anomaly</v>
      </c>
      <c r="AK220">
        <f t="shared" si="40"/>
        <v>1</v>
      </c>
    </row>
    <row r="221" spans="1:37">
      <c r="A221" t="s">
        <v>1165</v>
      </c>
      <c r="B221" t="s">
        <v>683</v>
      </c>
      <c r="C221" t="s">
        <v>1166</v>
      </c>
      <c r="D221" t="s">
        <v>1167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1168</v>
      </c>
      <c r="M221" t="s">
        <v>56</v>
      </c>
      <c r="N221">
        <v>2</v>
      </c>
      <c r="O221">
        <v>121.49</v>
      </c>
      <c r="P221" s="6" t="s">
        <v>4117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  <c r="W221" t="s">
        <v>1165</v>
      </c>
      <c r="X221" t="str">
        <v>18-06-24</v>
      </c>
      <c r="Y221" t="str">
        <v>invalid date</v>
      </c>
      <c r="Z221" t="s">
        <v>1167</v>
      </c>
      <c r="AA221" t="str">
        <v>Rahul Verma</v>
      </c>
      <c r="AB221" t="str">
        <f t="shared" si="31"/>
        <v>Consumer</v>
      </c>
      <c r="AC221" t="str">
        <f t="shared" si="32"/>
        <v>East</v>
      </c>
      <c r="AD221" t="str">
        <f t="shared" si="33"/>
        <v>Bihar</v>
      </c>
      <c r="AE221" t="str">
        <f t="shared" si="34"/>
        <v>Patna</v>
      </c>
      <c r="AF221" t="str">
        <f t="shared" si="35"/>
        <v>Technology</v>
      </c>
      <c r="AG221" t="str">
        <f t="shared" si="36"/>
        <v>Machines</v>
      </c>
      <c r="AH221" t="str">
        <f t="shared" si="37"/>
        <v>Elite Machines 290</v>
      </c>
      <c r="AI221" t="str">
        <f t="shared" si="38"/>
        <v>First Class</v>
      </c>
      <c r="AJ221" s="3" t="str">
        <f t="shared" si="39"/>
        <v>Invalid</v>
      </c>
      <c r="AK221" t="str">
        <f t="shared" si="40"/>
        <v>invalid date</v>
      </c>
    </row>
    <row r="222" spans="1:37">
      <c r="A222" t="s">
        <v>1169</v>
      </c>
      <c r="B222" t="s">
        <v>1170</v>
      </c>
      <c r="C222" t="s">
        <v>1170</v>
      </c>
      <c r="D222" t="s">
        <v>1171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1172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  <c r="W222" t="s">
        <v>1169</v>
      </c>
      <c r="X222" t="str">
        <v>09-03-24</v>
      </c>
      <c r="Y222" t="str">
        <v>09-03-24</v>
      </c>
      <c r="Z222" t="s">
        <v>1171</v>
      </c>
      <c r="AA222" t="str">
        <v>Sneha Kapoor</v>
      </c>
      <c r="AB222" t="str">
        <f t="shared" si="31"/>
        <v>Consumer</v>
      </c>
      <c r="AC222" t="str">
        <f t="shared" si="32"/>
        <v>South</v>
      </c>
      <c r="AD222" t="str">
        <f t="shared" si="33"/>
        <v>Kerala</v>
      </c>
      <c r="AE222" t="str">
        <f t="shared" si="34"/>
        <v>Kochi</v>
      </c>
      <c r="AF222" t="str">
        <f t="shared" si="35"/>
        <v>Office Supplies</v>
      </c>
      <c r="AG222" t="str">
        <f t="shared" si="36"/>
        <v>Storage</v>
      </c>
      <c r="AH222" t="str">
        <f t="shared" si="37"/>
        <v>Elite Storage 925</v>
      </c>
      <c r="AI222" t="str">
        <f t="shared" si="38"/>
        <v>First Class</v>
      </c>
      <c r="AJ222" s="3" t="str">
        <f t="shared" si="39"/>
        <v xml:space="preserve">  </v>
      </c>
      <c r="AK222">
        <f t="shared" si="40"/>
        <v>0</v>
      </c>
    </row>
    <row r="223" spans="1:37">
      <c r="A223" t="s">
        <v>1173</v>
      </c>
      <c r="B223" t="s">
        <v>1174</v>
      </c>
      <c r="C223" t="s">
        <v>1175</v>
      </c>
      <c r="D223" t="s">
        <v>1176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1177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  <c r="W223" t="s">
        <v>1173</v>
      </c>
      <c r="X223" t="str">
        <v>12-01-25</v>
      </c>
      <c r="Y223" t="str">
        <v>15-01-25</v>
      </c>
      <c r="Z223" t="s">
        <v>1176</v>
      </c>
      <c r="AA223" t="str">
        <v>Mira Das</v>
      </c>
      <c r="AB223" t="str">
        <f t="shared" si="31"/>
        <v>Corporate</v>
      </c>
      <c r="AC223" t="str">
        <f t="shared" si="32"/>
        <v>South</v>
      </c>
      <c r="AD223" t="str">
        <f t="shared" si="33"/>
        <v>Karnataka</v>
      </c>
      <c r="AE223" t="str">
        <f t="shared" si="34"/>
        <v>Bengaluru</v>
      </c>
      <c r="AF223" t="str">
        <f t="shared" si="35"/>
        <v>Furniture</v>
      </c>
      <c r="AG223" t="str">
        <f t="shared" si="36"/>
        <v>Chairs</v>
      </c>
      <c r="AH223" t="str">
        <f t="shared" si="37"/>
        <v>Classic Chairs 231</v>
      </c>
      <c r="AI223" t="str">
        <f t="shared" si="38"/>
        <v>Same Day</v>
      </c>
      <c r="AJ223" s="3" t="str">
        <f t="shared" si="39"/>
        <v>anomaly</v>
      </c>
      <c r="AK223">
        <f t="shared" si="40"/>
        <v>3</v>
      </c>
    </row>
    <row r="224" spans="1:37">
      <c r="A224" t="s">
        <v>1178</v>
      </c>
      <c r="B224" t="s">
        <v>1179</v>
      </c>
      <c r="C224" t="s">
        <v>1012</v>
      </c>
      <c r="D224" t="s">
        <v>1180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1181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  <c r="W224" t="s">
        <v>1178</v>
      </c>
      <c r="X224" t="str">
        <v>invalid date</v>
      </c>
      <c r="Y224" t="str">
        <v>02-05-25</v>
      </c>
      <c r="Z224" t="s">
        <v>1180</v>
      </c>
      <c r="AA224" t="str">
        <v>Vikram Iyer</v>
      </c>
      <c r="AB224" t="str">
        <f t="shared" si="31"/>
        <v>Small Business</v>
      </c>
      <c r="AC224" t="str">
        <f t="shared" si="32"/>
        <v>West</v>
      </c>
      <c r="AD224" t="str">
        <f t="shared" si="33"/>
        <v>Goa</v>
      </c>
      <c r="AE224" t="str">
        <f t="shared" si="34"/>
        <v>Panaji</v>
      </c>
      <c r="AF224" t="str">
        <f t="shared" si="35"/>
        <v>Office Supplies</v>
      </c>
      <c r="AG224" t="str">
        <f t="shared" si="36"/>
        <v>Storage</v>
      </c>
      <c r="AH224" t="str">
        <f t="shared" si="37"/>
        <v>Prime Storage 818</v>
      </c>
      <c r="AI224" t="str">
        <f t="shared" si="38"/>
        <v>First Class</v>
      </c>
      <c r="AJ224" s="3" t="str">
        <f t="shared" si="39"/>
        <v>Invalid</v>
      </c>
      <c r="AK224" t="str">
        <f t="shared" si="40"/>
        <v>invalid date</v>
      </c>
    </row>
    <row r="225" spans="1:37">
      <c r="A225" t="s">
        <v>1182</v>
      </c>
      <c r="B225" t="s">
        <v>1183</v>
      </c>
      <c r="C225" t="s">
        <v>1184</v>
      </c>
      <c r="D225" t="s">
        <v>1185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1186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  <c r="W225" t="s">
        <v>1182</v>
      </c>
      <c r="X225" t="str">
        <v>19-02-25</v>
      </c>
      <c r="Y225" t="str">
        <v>invalid date</v>
      </c>
      <c r="Z225" t="s">
        <v>1185</v>
      </c>
      <c r="AA225" t="str">
        <v>Mira Das</v>
      </c>
      <c r="AB225" t="str">
        <f t="shared" si="31"/>
        <v>Corporate</v>
      </c>
      <c r="AC225" t="str">
        <f t="shared" si="32"/>
        <v>West</v>
      </c>
      <c r="AD225" t="str">
        <f t="shared" si="33"/>
        <v>Maharashtra</v>
      </c>
      <c r="AE225" t="str">
        <f t="shared" si="34"/>
        <v>Mumbai</v>
      </c>
      <c r="AF225" t="str">
        <f t="shared" si="35"/>
        <v>Furniture</v>
      </c>
      <c r="AG225" t="str">
        <f t="shared" si="36"/>
        <v>Furnishings</v>
      </c>
      <c r="AH225" t="str">
        <f t="shared" si="37"/>
        <v>Elite Furnishings 449</v>
      </c>
      <c r="AI225" t="str">
        <f t="shared" si="38"/>
        <v>First Class</v>
      </c>
      <c r="AJ225" s="3" t="str">
        <f t="shared" si="39"/>
        <v>Invalid</v>
      </c>
      <c r="AK225" t="str">
        <f t="shared" si="40"/>
        <v>invalid date</v>
      </c>
    </row>
    <row r="226" spans="1:37">
      <c r="A226" t="s">
        <v>1187</v>
      </c>
      <c r="B226" t="s">
        <v>1188</v>
      </c>
      <c r="C226" t="s">
        <v>1189</v>
      </c>
      <c r="D226" t="s">
        <v>1190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1191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  <c r="W226" t="s">
        <v>1187</v>
      </c>
      <c r="X226" t="str">
        <v>10-02-25</v>
      </c>
      <c r="Y226" t="str">
        <v>08-10-25</v>
      </c>
      <c r="Z226" t="s">
        <v>1190</v>
      </c>
      <c r="AA226" t="str">
        <v>Isha Nair</v>
      </c>
      <c r="AB226" t="str">
        <f t="shared" si="31"/>
        <v>Small Business</v>
      </c>
      <c r="AC226" t="str">
        <f t="shared" si="32"/>
        <v>North</v>
      </c>
      <c r="AD226" t="str">
        <f t="shared" si="33"/>
        <v>Punjab</v>
      </c>
      <c r="AE226" t="str">
        <f t="shared" si="34"/>
        <v>Ludhiana</v>
      </c>
      <c r="AF226" t="str">
        <f t="shared" si="35"/>
        <v>Furniture</v>
      </c>
      <c r="AG226" t="str">
        <f t="shared" si="36"/>
        <v>Furnishings</v>
      </c>
      <c r="AH226" t="str">
        <f t="shared" si="37"/>
        <v>Classic Furnishings 109</v>
      </c>
      <c r="AI226" t="str">
        <f t="shared" si="38"/>
        <v>Standard Class</v>
      </c>
      <c r="AJ226" s="3" t="str">
        <f t="shared" si="39"/>
        <v xml:space="preserve">  </v>
      </c>
      <c r="AK226">
        <f t="shared" si="40"/>
        <v>240</v>
      </c>
    </row>
    <row r="227" spans="1:37">
      <c r="A227" t="s">
        <v>1192</v>
      </c>
      <c r="B227" t="s">
        <v>1193</v>
      </c>
      <c r="C227" t="s">
        <v>1194</v>
      </c>
      <c r="D227" t="s">
        <v>1195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1196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  <c r="W227" t="s">
        <v>1192</v>
      </c>
      <c r="X227" t="str">
        <v>02-09-24</v>
      </c>
      <c r="Y227" t="str">
        <v>10-09-24</v>
      </c>
      <c r="Z227" t="s">
        <v>1195</v>
      </c>
      <c r="AA227" t="str">
        <v>Mira Das</v>
      </c>
      <c r="AB227" t="str">
        <f t="shared" si="31"/>
        <v>Corporate</v>
      </c>
      <c r="AC227" t="str">
        <f t="shared" si="32"/>
        <v>West</v>
      </c>
      <c r="AD227" t="str">
        <f t="shared" si="33"/>
        <v>Goa</v>
      </c>
      <c r="AE227" t="str">
        <f t="shared" si="34"/>
        <v>Panaji</v>
      </c>
      <c r="AF227" t="str">
        <f t="shared" si="35"/>
        <v>Technology</v>
      </c>
      <c r="AG227" t="str">
        <f t="shared" si="36"/>
        <v>Phones</v>
      </c>
      <c r="AH227" t="str">
        <f t="shared" si="37"/>
        <v>Classic Phones 548</v>
      </c>
      <c r="AI227" t="str">
        <f t="shared" si="38"/>
        <v>Standard Class</v>
      </c>
      <c r="AJ227" s="3" t="str">
        <f t="shared" si="39"/>
        <v>anomaly</v>
      </c>
      <c r="AK227">
        <f t="shared" si="40"/>
        <v>8</v>
      </c>
    </row>
    <row r="228" spans="1:37">
      <c r="A228" t="s">
        <v>1197</v>
      </c>
      <c r="B228" t="s">
        <v>1198</v>
      </c>
      <c r="C228" t="s">
        <v>1152</v>
      </c>
      <c r="D228" t="s">
        <v>1199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1200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  <c r="W228" t="s">
        <v>1197</v>
      </c>
      <c r="X228" t="str">
        <v>10-04-25</v>
      </c>
      <c r="Y228" t="str">
        <v>15-04-25</v>
      </c>
      <c r="Z228" t="s">
        <v>1199</v>
      </c>
      <c r="AA228" t="str">
        <v>Diya Patel</v>
      </c>
      <c r="AB228" t="str">
        <f t="shared" si="31"/>
        <v>Home Office</v>
      </c>
      <c r="AC228" s="5" t="s">
        <v>4116</v>
      </c>
      <c r="AD228" t="str">
        <f t="shared" si="33"/>
        <v>Kerala</v>
      </c>
      <c r="AE228" t="str">
        <f t="shared" si="34"/>
        <v>Kochi</v>
      </c>
      <c r="AF228" t="str">
        <f t="shared" si="35"/>
        <v>Technology</v>
      </c>
      <c r="AG228" t="str">
        <f t="shared" si="36"/>
        <v>Copiers</v>
      </c>
      <c r="AH228" t="str">
        <f t="shared" si="37"/>
        <v>Max Copiers 363</v>
      </c>
      <c r="AI228" t="str">
        <f t="shared" si="38"/>
        <v>Same Day</v>
      </c>
      <c r="AJ228" s="3" t="str">
        <f t="shared" si="39"/>
        <v>anomaly</v>
      </c>
      <c r="AK228">
        <f t="shared" si="40"/>
        <v>5</v>
      </c>
    </row>
    <row r="229" spans="1:37">
      <c r="A229" t="s">
        <v>1201</v>
      </c>
      <c r="B229" t="s">
        <v>1202</v>
      </c>
      <c r="C229" t="s">
        <v>1203</v>
      </c>
      <c r="D229" t="s">
        <v>1204</v>
      </c>
      <c r="E229" t="s">
        <v>72</v>
      </c>
      <c r="F229" t="s">
        <v>1205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1206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  <c r="W229" t="s">
        <v>1201</v>
      </c>
      <c r="X229" t="str">
        <v>05-07-24</v>
      </c>
      <c r="Y229" t="str">
        <v>12-07-24</v>
      </c>
      <c r="Z229" t="s">
        <v>1204</v>
      </c>
      <c r="AA229" t="str">
        <v>Ananya Rao</v>
      </c>
      <c r="AB229" t="str">
        <f t="shared" si="31"/>
        <v>Small Business</v>
      </c>
      <c r="AC229" t="str">
        <f t="shared" si="32"/>
        <v>West</v>
      </c>
      <c r="AD229" t="str">
        <f t="shared" si="33"/>
        <v>Goa</v>
      </c>
      <c r="AE229" t="str">
        <f t="shared" si="34"/>
        <v>Panaji</v>
      </c>
      <c r="AF229" t="str">
        <f t="shared" si="35"/>
        <v>Office Supplies</v>
      </c>
      <c r="AG229" t="str">
        <f t="shared" si="36"/>
        <v>Binders</v>
      </c>
      <c r="AH229" t="str">
        <f t="shared" si="37"/>
        <v>Prime Binders 507</v>
      </c>
      <c r="AI229" t="str">
        <f t="shared" si="38"/>
        <v>First Class</v>
      </c>
      <c r="AJ229" s="3" t="str">
        <f t="shared" si="39"/>
        <v>anomaly</v>
      </c>
      <c r="AK229">
        <f t="shared" si="40"/>
        <v>7</v>
      </c>
    </row>
    <row r="230" spans="1:37">
      <c r="A230" t="s">
        <v>1207</v>
      </c>
      <c r="B230" t="s">
        <v>1208</v>
      </c>
      <c r="C230" t="s">
        <v>1209</v>
      </c>
      <c r="D230" t="s">
        <v>1210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1211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  <c r="W230" t="s">
        <v>1207</v>
      </c>
      <c r="X230" t="str">
        <v>24-04-24</v>
      </c>
      <c r="Y230" t="str">
        <v>28-04-24</v>
      </c>
      <c r="Z230" t="s">
        <v>1210</v>
      </c>
      <c r="AA230" t="str">
        <v>Karan Malhotra</v>
      </c>
      <c r="AB230" t="str">
        <f t="shared" si="31"/>
        <v>Small Business</v>
      </c>
      <c r="AC230" t="str">
        <f t="shared" si="32"/>
        <v>South</v>
      </c>
      <c r="AD230" t="str">
        <f t="shared" si="33"/>
        <v>Telangana</v>
      </c>
      <c r="AE230" t="str">
        <f t="shared" si="34"/>
        <v>Hyderabad</v>
      </c>
      <c r="AF230" t="str">
        <f t="shared" si="35"/>
        <v>Office Supplies</v>
      </c>
      <c r="AG230" t="str">
        <f t="shared" si="36"/>
        <v>Labels</v>
      </c>
      <c r="AH230" t="str">
        <f t="shared" si="37"/>
        <v>Smart Labels 914</v>
      </c>
      <c r="AI230" t="str">
        <f t="shared" si="38"/>
        <v>Second Class</v>
      </c>
      <c r="AJ230" s="3" t="str">
        <f t="shared" si="39"/>
        <v>anomaly</v>
      </c>
      <c r="AK230">
        <f t="shared" si="40"/>
        <v>4</v>
      </c>
    </row>
    <row r="231" spans="1:37">
      <c r="A231" t="s">
        <v>1212</v>
      </c>
      <c r="B231" t="s">
        <v>1213</v>
      </c>
      <c r="C231" t="s">
        <v>1214</v>
      </c>
      <c r="D231" t="s">
        <v>1215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1216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  <c r="W231" t="s">
        <v>1212</v>
      </c>
      <c r="X231" t="str">
        <v>28-06-25</v>
      </c>
      <c r="Y231" t="str">
        <v>07-04-25</v>
      </c>
      <c r="Z231" t="s">
        <v>1215</v>
      </c>
      <c r="AA231" t="str">
        <v>Rohan Mehta</v>
      </c>
      <c r="AB231" t="str">
        <f t="shared" si="31"/>
        <v>Consumer</v>
      </c>
      <c r="AC231" t="str">
        <f t="shared" si="32"/>
        <v>South</v>
      </c>
      <c r="AD231" t="str">
        <f t="shared" si="33"/>
        <v>Telangana</v>
      </c>
      <c r="AE231" t="str">
        <f t="shared" si="34"/>
        <v>Hyderabad</v>
      </c>
      <c r="AF231" t="str">
        <f t="shared" si="35"/>
        <v>Furniture</v>
      </c>
      <c r="AG231" t="str">
        <f t="shared" si="36"/>
        <v>Bookcases</v>
      </c>
      <c r="AH231" t="str">
        <f t="shared" si="37"/>
        <v>Smart Bookcases 662</v>
      </c>
      <c r="AI231" t="str">
        <f t="shared" si="38"/>
        <v>First Class</v>
      </c>
      <c r="AJ231" s="3" t="str">
        <f t="shared" si="39"/>
        <v xml:space="preserve">  </v>
      </c>
      <c r="AK231">
        <f t="shared" si="40"/>
        <v>-82</v>
      </c>
    </row>
    <row r="232" spans="1:37">
      <c r="A232" t="s">
        <v>1217</v>
      </c>
      <c r="B232" t="s">
        <v>81</v>
      </c>
      <c r="C232" t="s">
        <v>1218</v>
      </c>
      <c r="D232" t="s">
        <v>1219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1220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  <c r="W232" t="s">
        <v>1217</v>
      </c>
      <c r="X232" t="str">
        <v>28-05-24</v>
      </c>
      <c r="Y232" t="str">
        <v>03-06-24</v>
      </c>
      <c r="Z232" t="s">
        <v>1219</v>
      </c>
      <c r="AA232" t="str">
        <v>Neha Gupta</v>
      </c>
      <c r="AB232" t="str">
        <f t="shared" si="31"/>
        <v>Small Business</v>
      </c>
      <c r="AC232" t="str">
        <f t="shared" si="32"/>
        <v>North</v>
      </c>
      <c r="AD232" t="str">
        <f t="shared" si="33"/>
        <v>Rajasthan</v>
      </c>
      <c r="AE232" t="str">
        <f t="shared" si="34"/>
        <v>Jaipur</v>
      </c>
      <c r="AF232" t="str">
        <f t="shared" si="35"/>
        <v>Office Supplies</v>
      </c>
      <c r="AG232" t="str">
        <f t="shared" si="36"/>
        <v>Paper</v>
      </c>
      <c r="AH232" t="str">
        <f t="shared" si="37"/>
        <v>Eco Paper 937</v>
      </c>
      <c r="AI232" t="str">
        <f t="shared" si="38"/>
        <v>Standard Class</v>
      </c>
      <c r="AJ232" s="3" t="str">
        <f t="shared" si="39"/>
        <v xml:space="preserve">  </v>
      </c>
      <c r="AK232">
        <f t="shared" si="40"/>
        <v>6</v>
      </c>
    </row>
    <row r="233" spans="1:37">
      <c r="A233" t="s">
        <v>1221</v>
      </c>
      <c r="B233" t="s">
        <v>1222</v>
      </c>
      <c r="C233" t="s">
        <v>1223</v>
      </c>
      <c r="D233" t="s">
        <v>1224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1225</v>
      </c>
      <c r="K233" t="s">
        <v>109</v>
      </c>
      <c r="L233" t="s">
        <v>1226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  <c r="W233" t="s">
        <v>1221</v>
      </c>
      <c r="X233" t="str">
        <v>02-05-24</v>
      </c>
      <c r="Y233" t="str">
        <v>05-02-24</v>
      </c>
      <c r="Z233" t="s">
        <v>1224</v>
      </c>
      <c r="AA233" t="str">
        <v>Ananya Rao</v>
      </c>
      <c r="AB233" t="str">
        <f t="shared" si="31"/>
        <v>Corporate</v>
      </c>
      <c r="AC233" t="str">
        <f t="shared" si="32"/>
        <v>North</v>
      </c>
      <c r="AD233" t="str">
        <f t="shared" si="33"/>
        <v>Rajasthan</v>
      </c>
      <c r="AE233" t="str">
        <f t="shared" si="34"/>
        <v>Jaipur</v>
      </c>
      <c r="AF233" t="str">
        <f t="shared" si="35"/>
        <v>Office Supplies</v>
      </c>
      <c r="AG233" t="str">
        <f t="shared" si="36"/>
        <v>Labels</v>
      </c>
      <c r="AH233" t="str">
        <f t="shared" si="37"/>
        <v>Max Labels 370</v>
      </c>
      <c r="AI233" t="str">
        <f t="shared" si="38"/>
        <v>First Class</v>
      </c>
      <c r="AJ233" s="3" t="str">
        <f t="shared" si="39"/>
        <v>anomaly</v>
      </c>
      <c r="AK233">
        <f t="shared" si="40"/>
        <v>-87</v>
      </c>
    </row>
    <row r="234" spans="1:37">
      <c r="A234" t="s">
        <v>1227</v>
      </c>
      <c r="B234" t="s">
        <v>1228</v>
      </c>
      <c r="C234" t="s">
        <v>1229</v>
      </c>
      <c r="D234" t="s">
        <v>1230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1231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  <c r="W234" t="s">
        <v>1227</v>
      </c>
      <c r="X234" t="str">
        <v>04-06-25</v>
      </c>
      <c r="Y234" t="str">
        <v>10-06-25</v>
      </c>
      <c r="Z234" t="s">
        <v>1230</v>
      </c>
      <c r="AA234" t="str">
        <v>Rahul Verma</v>
      </c>
      <c r="AB234" t="str">
        <f t="shared" si="31"/>
        <v>Consumer</v>
      </c>
      <c r="AC234" t="str">
        <f t="shared" si="32"/>
        <v>South</v>
      </c>
      <c r="AD234" t="str">
        <f t="shared" si="33"/>
        <v>Andhra Pradesh</v>
      </c>
      <c r="AE234" t="str">
        <f t="shared" si="34"/>
        <v>Vijayawada</v>
      </c>
      <c r="AF234" t="str">
        <f t="shared" si="35"/>
        <v>Technology</v>
      </c>
      <c r="AG234" t="str">
        <f t="shared" si="36"/>
        <v>Phones</v>
      </c>
      <c r="AH234" t="str">
        <f t="shared" si="37"/>
        <v>Classic Phones 530</v>
      </c>
      <c r="AI234" t="str">
        <f t="shared" si="38"/>
        <v>Standard Class</v>
      </c>
      <c r="AJ234" s="3" t="str">
        <f t="shared" si="39"/>
        <v>anomaly</v>
      </c>
      <c r="AK234">
        <f t="shared" si="40"/>
        <v>6</v>
      </c>
    </row>
    <row r="235" spans="1:37">
      <c r="A235" t="s">
        <v>1232</v>
      </c>
      <c r="B235" t="s">
        <v>1233</v>
      </c>
      <c r="C235" t="s">
        <v>1234</v>
      </c>
      <c r="D235" t="s">
        <v>1235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1236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  <c r="W235" t="s">
        <v>1232</v>
      </c>
      <c r="X235" t="str">
        <v>14-10-24</v>
      </c>
      <c r="Y235" t="str">
        <v>invalid date</v>
      </c>
      <c r="Z235" t="s">
        <v>1235</v>
      </c>
      <c r="AA235" t="str">
        <v>Vikram Iyer</v>
      </c>
      <c r="AB235" t="str">
        <f t="shared" si="31"/>
        <v>Corporate</v>
      </c>
      <c r="AC235" t="str">
        <f t="shared" si="32"/>
        <v>South</v>
      </c>
      <c r="AD235" t="str">
        <f t="shared" si="33"/>
        <v>Karnataka</v>
      </c>
      <c r="AE235" t="str">
        <f t="shared" si="34"/>
        <v>Bengaluru</v>
      </c>
      <c r="AF235" t="str">
        <f t="shared" si="35"/>
        <v>Furniture</v>
      </c>
      <c r="AG235" t="str">
        <f t="shared" si="36"/>
        <v>Bookcases</v>
      </c>
      <c r="AH235" t="str">
        <f t="shared" si="37"/>
        <v>Smart Bookcases 328</v>
      </c>
      <c r="AI235" s="5" t="s">
        <v>4116</v>
      </c>
      <c r="AJ235" s="3" t="str">
        <f t="shared" si="39"/>
        <v>Invalid</v>
      </c>
      <c r="AK235" t="str">
        <f t="shared" si="40"/>
        <v>invalid date</v>
      </c>
    </row>
    <row r="236" spans="1:37">
      <c r="A236" t="s">
        <v>1237</v>
      </c>
      <c r="B236" t="s">
        <v>1238</v>
      </c>
      <c r="C236" t="s">
        <v>1239</v>
      </c>
      <c r="D236" t="s">
        <v>1240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1241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  <c r="W236" t="s">
        <v>1237</v>
      </c>
      <c r="X236" t="str">
        <v>09-02-24</v>
      </c>
      <c r="Y236" t="str">
        <v>03-09-24</v>
      </c>
      <c r="Z236" t="s">
        <v>1240</v>
      </c>
      <c r="AA236" t="str">
        <v>Kabir Singh</v>
      </c>
      <c r="AB236" t="str">
        <f t="shared" si="31"/>
        <v>Home Office</v>
      </c>
      <c r="AC236" t="str">
        <f t="shared" si="32"/>
        <v>North</v>
      </c>
      <c r="AD236" t="str">
        <f t="shared" si="33"/>
        <v>Delhi</v>
      </c>
      <c r="AE236" t="str">
        <f t="shared" si="34"/>
        <v>New Delhi</v>
      </c>
      <c r="AF236" t="str">
        <f t="shared" si="35"/>
        <v>Furniture</v>
      </c>
      <c r="AG236" t="str">
        <f t="shared" si="36"/>
        <v>Furnishings</v>
      </c>
      <c r="AH236" t="str">
        <f t="shared" si="37"/>
        <v>Eco Furnishings 981</v>
      </c>
      <c r="AI236" t="str">
        <f t="shared" si="38"/>
        <v>First Class</v>
      </c>
      <c r="AJ236" s="3" t="str">
        <f t="shared" si="39"/>
        <v xml:space="preserve">  </v>
      </c>
      <c r="AK236">
        <f t="shared" si="40"/>
        <v>207</v>
      </c>
    </row>
    <row r="237" spans="1:37">
      <c r="A237" t="s">
        <v>1242</v>
      </c>
      <c r="B237" t="s">
        <v>1243</v>
      </c>
      <c r="C237" t="s">
        <v>1244</v>
      </c>
      <c r="D237" t="s">
        <v>1245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1246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  <c r="W237" t="s">
        <v>1242</v>
      </c>
      <c r="X237" t="str">
        <v>11-02-24</v>
      </c>
      <c r="Y237" t="str">
        <v>11-03-24</v>
      </c>
      <c r="Z237" t="s">
        <v>1245</v>
      </c>
      <c r="AA237" t="str">
        <v>Rahul Verma</v>
      </c>
      <c r="AB237" t="str">
        <f t="shared" si="31"/>
        <v>Small Business</v>
      </c>
      <c r="AC237" t="str">
        <f t="shared" si="32"/>
        <v>West</v>
      </c>
      <c r="AD237" t="str">
        <f t="shared" si="33"/>
        <v>Rajasthan</v>
      </c>
      <c r="AE237" t="str">
        <f t="shared" si="34"/>
        <v>Udaipur</v>
      </c>
      <c r="AF237" t="str">
        <f t="shared" si="35"/>
        <v>Office Supplies</v>
      </c>
      <c r="AG237" t="str">
        <f t="shared" si="36"/>
        <v>Storage</v>
      </c>
      <c r="AH237" t="str">
        <f t="shared" si="37"/>
        <v>Basic Storage 195</v>
      </c>
      <c r="AI237" t="str">
        <f t="shared" si="38"/>
        <v>Standard Class</v>
      </c>
      <c r="AJ237" s="3" t="str">
        <f t="shared" si="39"/>
        <v>anomaly</v>
      </c>
      <c r="AK237">
        <f t="shared" si="40"/>
        <v>29</v>
      </c>
    </row>
    <row r="238" spans="1:37">
      <c r="A238" t="s">
        <v>1247</v>
      </c>
      <c r="B238" t="s">
        <v>1234</v>
      </c>
      <c r="C238" t="s">
        <v>1248</v>
      </c>
      <c r="D238" t="s">
        <v>1249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1250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  <c r="W238" t="s">
        <v>1247</v>
      </c>
      <c r="X238" t="str">
        <v>invalid date</v>
      </c>
      <c r="Y238" t="str">
        <v>21-10-24</v>
      </c>
      <c r="Z238" t="s">
        <v>1249</v>
      </c>
      <c r="AA238" t="str">
        <v>Priya Menon</v>
      </c>
      <c r="AB238" t="str">
        <f t="shared" si="31"/>
        <v>Corporate</v>
      </c>
      <c r="AC238" t="str">
        <f t="shared" si="32"/>
        <v>North</v>
      </c>
      <c r="AD238" t="str">
        <f t="shared" si="33"/>
        <v>Uttar Pradesh</v>
      </c>
      <c r="AE238" t="str">
        <f t="shared" si="34"/>
        <v>Noida</v>
      </c>
      <c r="AF238" t="str">
        <f t="shared" si="35"/>
        <v>Furniture</v>
      </c>
      <c r="AG238" t="str">
        <f t="shared" si="36"/>
        <v>Bookcases</v>
      </c>
      <c r="AH238" t="str">
        <f t="shared" si="37"/>
        <v>Elite Bookcases 907</v>
      </c>
      <c r="AI238" t="str">
        <f t="shared" si="38"/>
        <v>First Class</v>
      </c>
      <c r="AJ238" s="3" t="str">
        <f t="shared" si="39"/>
        <v>Invalid</v>
      </c>
      <c r="AK238" t="str">
        <f t="shared" si="40"/>
        <v>invalid date</v>
      </c>
    </row>
    <row r="239" spans="1:37">
      <c r="A239" t="s">
        <v>1251</v>
      </c>
      <c r="B239" t="s">
        <v>1252</v>
      </c>
      <c r="C239" t="s">
        <v>1252</v>
      </c>
      <c r="D239" t="s">
        <v>1253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1254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  <c r="W239" t="s">
        <v>1251</v>
      </c>
      <c r="X239" t="str">
        <v>27-08-24</v>
      </c>
      <c r="Y239" t="str">
        <v>27-08-24</v>
      </c>
      <c r="Z239" t="s">
        <v>1253</v>
      </c>
      <c r="AA239" t="str">
        <v>Mira Das</v>
      </c>
      <c r="AB239" t="str">
        <f t="shared" si="31"/>
        <v>Consumer</v>
      </c>
      <c r="AC239" t="str">
        <f t="shared" si="32"/>
        <v>North</v>
      </c>
      <c r="AD239" t="str">
        <f t="shared" si="33"/>
        <v>Haryana</v>
      </c>
      <c r="AE239" t="str">
        <f t="shared" si="34"/>
        <v>Gurugram</v>
      </c>
      <c r="AF239" t="str">
        <f t="shared" si="35"/>
        <v>Technology</v>
      </c>
      <c r="AG239" t="str">
        <f t="shared" si="36"/>
        <v>Copiers</v>
      </c>
      <c r="AH239" t="str">
        <f t="shared" si="37"/>
        <v>Smart Copiers 471</v>
      </c>
      <c r="AI239" t="str">
        <f t="shared" si="38"/>
        <v>Standard Class</v>
      </c>
      <c r="AJ239" s="3" t="str">
        <f t="shared" si="39"/>
        <v xml:space="preserve">  </v>
      </c>
      <c r="AK239">
        <f t="shared" si="40"/>
        <v>0</v>
      </c>
    </row>
    <row r="240" spans="1:37">
      <c r="A240" t="s">
        <v>1255</v>
      </c>
      <c r="B240" t="s">
        <v>1256</v>
      </c>
      <c r="C240" t="s">
        <v>1257</v>
      </c>
      <c r="D240" t="s">
        <v>1258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1259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  <c r="W240" t="s">
        <v>1255</v>
      </c>
      <c r="X240" t="str">
        <v>01-12-24</v>
      </c>
      <c r="Y240" t="str">
        <v>invalid date</v>
      </c>
      <c r="Z240" t="s">
        <v>1258</v>
      </c>
      <c r="AA240" t="str">
        <v>Arjun Bose</v>
      </c>
      <c r="AB240" t="str">
        <f t="shared" si="31"/>
        <v>Consumer</v>
      </c>
      <c r="AC240" t="str">
        <f t="shared" si="32"/>
        <v>South</v>
      </c>
      <c r="AD240" t="str">
        <f t="shared" si="33"/>
        <v>Andhra Pradesh</v>
      </c>
      <c r="AE240" t="str">
        <f t="shared" si="34"/>
        <v>Vijayawada</v>
      </c>
      <c r="AF240" t="str">
        <f t="shared" si="35"/>
        <v>Office Supplies</v>
      </c>
      <c r="AG240" t="str">
        <f t="shared" si="36"/>
        <v>Storage</v>
      </c>
      <c r="AH240" t="str">
        <f t="shared" si="37"/>
        <v>Prime Storage 625</v>
      </c>
      <c r="AI240" t="str">
        <f t="shared" si="38"/>
        <v>First Class</v>
      </c>
      <c r="AJ240" s="3" t="str">
        <f t="shared" si="39"/>
        <v>Invalid</v>
      </c>
      <c r="AK240" t="str">
        <f t="shared" si="40"/>
        <v>invalid date</v>
      </c>
    </row>
    <row r="241" spans="1:37">
      <c r="A241" t="s">
        <v>1260</v>
      </c>
      <c r="B241" t="s">
        <v>1261</v>
      </c>
      <c r="C241" t="s">
        <v>1133</v>
      </c>
      <c r="D241" t="s">
        <v>1262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1263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  <c r="W241" t="s">
        <v>1260</v>
      </c>
      <c r="X241" t="str">
        <v>21-09-24</v>
      </c>
      <c r="Y241" t="str">
        <v>invalid date</v>
      </c>
      <c r="Z241" t="s">
        <v>1262</v>
      </c>
      <c r="AA241" t="str">
        <v>Kabir Singh</v>
      </c>
      <c r="AB241" t="str">
        <f t="shared" si="31"/>
        <v>Corporate</v>
      </c>
      <c r="AC241" t="str">
        <f t="shared" si="32"/>
        <v>South</v>
      </c>
      <c r="AD241" t="str">
        <f t="shared" si="33"/>
        <v>Karnataka</v>
      </c>
      <c r="AE241" t="str">
        <f t="shared" si="34"/>
        <v>Bengaluru</v>
      </c>
      <c r="AF241" t="str">
        <f t="shared" si="35"/>
        <v>Technology</v>
      </c>
      <c r="AG241" t="str">
        <f t="shared" si="36"/>
        <v>Machines</v>
      </c>
      <c r="AH241" t="str">
        <f t="shared" si="37"/>
        <v>Smart Machines 801</v>
      </c>
      <c r="AI241" t="str">
        <f t="shared" si="38"/>
        <v>First Class</v>
      </c>
      <c r="AJ241" s="3" t="str">
        <f t="shared" si="39"/>
        <v>Invalid</v>
      </c>
      <c r="AK241" t="str">
        <f t="shared" si="40"/>
        <v>invalid date</v>
      </c>
    </row>
    <row r="242" spans="1:37">
      <c r="A242" t="s">
        <v>1264</v>
      </c>
      <c r="B242" t="s">
        <v>1265</v>
      </c>
      <c r="C242" t="s">
        <v>823</v>
      </c>
      <c r="D242" t="s">
        <v>1266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1267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  <c r="W242" t="s">
        <v>1264</v>
      </c>
      <c r="X242" t="str">
        <v>17-12-24</v>
      </c>
      <c r="Y242" t="str">
        <v>23-12-24</v>
      </c>
      <c r="Z242" t="s">
        <v>1266</v>
      </c>
      <c r="AA242" t="str">
        <v>Aarav Sharma</v>
      </c>
      <c r="AB242" t="str">
        <f t="shared" si="31"/>
        <v>Corporate</v>
      </c>
      <c r="AC242" t="str">
        <f t="shared" si="32"/>
        <v>South</v>
      </c>
      <c r="AD242" t="str">
        <f t="shared" si="33"/>
        <v>Telangana</v>
      </c>
      <c r="AE242" t="str">
        <f t="shared" si="34"/>
        <v>Hyderabad</v>
      </c>
      <c r="AF242" t="str">
        <f t="shared" si="35"/>
        <v>Office Supplies</v>
      </c>
      <c r="AG242" t="str">
        <f t="shared" si="36"/>
        <v>Binders</v>
      </c>
      <c r="AH242" t="str">
        <f t="shared" si="37"/>
        <v>Max Binders 170</v>
      </c>
      <c r="AI242" t="str">
        <f t="shared" si="38"/>
        <v>First Class</v>
      </c>
      <c r="AJ242" s="3" t="str">
        <f t="shared" si="39"/>
        <v>anomaly</v>
      </c>
      <c r="AK242">
        <f t="shared" si="40"/>
        <v>6</v>
      </c>
    </row>
    <row r="243" spans="1:37">
      <c r="A243" t="s">
        <v>1268</v>
      </c>
      <c r="B243" t="s">
        <v>1269</v>
      </c>
      <c r="C243" t="s">
        <v>1270</v>
      </c>
      <c r="D243" t="s">
        <v>1271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1272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  <c r="W243" t="s">
        <v>1268</v>
      </c>
      <c r="X243" t="str">
        <v>07-06-25</v>
      </c>
      <c r="Y243" t="str">
        <v>06-07-25</v>
      </c>
      <c r="Z243" t="s">
        <v>1271</v>
      </c>
      <c r="AA243" t="str">
        <v>Sneha Kapoor</v>
      </c>
      <c r="AB243" t="str">
        <f t="shared" si="31"/>
        <v>Corporate</v>
      </c>
      <c r="AC243" t="str">
        <f t="shared" si="32"/>
        <v>North</v>
      </c>
      <c r="AD243" t="str">
        <f t="shared" si="33"/>
        <v>Haryana</v>
      </c>
      <c r="AE243" t="str">
        <f t="shared" si="34"/>
        <v>Gurugram</v>
      </c>
      <c r="AF243" t="str">
        <f t="shared" si="35"/>
        <v>Office Supplies</v>
      </c>
      <c r="AG243" t="str">
        <f t="shared" si="36"/>
        <v>Storage</v>
      </c>
      <c r="AH243" t="str">
        <f t="shared" si="37"/>
        <v>Basic Storage 737</v>
      </c>
      <c r="AI243" t="str">
        <f t="shared" si="38"/>
        <v>Standard Class</v>
      </c>
      <c r="AJ243" s="3" t="str">
        <f t="shared" si="39"/>
        <v xml:space="preserve">  </v>
      </c>
      <c r="AK243">
        <f t="shared" si="40"/>
        <v>29</v>
      </c>
    </row>
    <row r="244" spans="1:37">
      <c r="A244" t="s">
        <v>1273</v>
      </c>
      <c r="B244" t="s">
        <v>1274</v>
      </c>
      <c r="C244" t="s">
        <v>1275</v>
      </c>
      <c r="D244" t="s">
        <v>1276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1277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  <c r="W244" t="s">
        <v>1273</v>
      </c>
      <c r="X244" t="str">
        <v>07-02-25</v>
      </c>
      <c r="Y244" t="str">
        <v>07-02-25</v>
      </c>
      <c r="Z244" t="s">
        <v>1276</v>
      </c>
      <c r="AA244" t="str">
        <v>Arjun Bose</v>
      </c>
      <c r="AB244" t="str">
        <f t="shared" si="31"/>
        <v>Consumer</v>
      </c>
      <c r="AC244" t="str">
        <f t="shared" si="32"/>
        <v>North</v>
      </c>
      <c r="AD244" t="str">
        <f t="shared" si="33"/>
        <v>Uttar Pradesh</v>
      </c>
      <c r="AE244" t="str">
        <f t="shared" si="34"/>
        <v>Noida</v>
      </c>
      <c r="AF244" t="str">
        <f t="shared" si="35"/>
        <v>Office Supplies</v>
      </c>
      <c r="AG244" t="str">
        <f t="shared" si="36"/>
        <v>Art</v>
      </c>
      <c r="AH244" t="str">
        <f t="shared" si="37"/>
        <v>Classic Art 126</v>
      </c>
      <c r="AI244" t="str">
        <f t="shared" si="38"/>
        <v>Second Class</v>
      </c>
      <c r="AJ244" s="3" t="str">
        <f t="shared" si="39"/>
        <v xml:space="preserve">  </v>
      </c>
      <c r="AK244">
        <f t="shared" si="40"/>
        <v>0</v>
      </c>
    </row>
    <row r="245" spans="1:37">
      <c r="A245" t="s">
        <v>1278</v>
      </c>
      <c r="B245" t="s">
        <v>283</v>
      </c>
      <c r="C245" t="s">
        <v>1279</v>
      </c>
      <c r="D245" t="s">
        <v>1280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1281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1025</v>
      </c>
      <c r="W245" t="s">
        <v>1278</v>
      </c>
      <c r="X245" t="str">
        <v>29-07-25</v>
      </c>
      <c r="Y245" t="str">
        <v>02-08-25</v>
      </c>
      <c r="Z245" t="s">
        <v>1280</v>
      </c>
      <c r="AA245" t="str">
        <v>Sneha Kapoor</v>
      </c>
      <c r="AB245" t="str">
        <f t="shared" si="31"/>
        <v>Small Business</v>
      </c>
      <c r="AC245" s="5" t="s">
        <v>4116</v>
      </c>
      <c r="AD245" t="str">
        <f t="shared" si="33"/>
        <v>Madhya Pradesh</v>
      </c>
      <c r="AE245" t="str">
        <f t="shared" si="34"/>
        <v>Indore</v>
      </c>
      <c r="AF245" t="str">
        <f t="shared" si="35"/>
        <v>Technology</v>
      </c>
      <c r="AG245" t="str">
        <f t="shared" si="36"/>
        <v>Accessories</v>
      </c>
      <c r="AH245" t="str">
        <f t="shared" si="37"/>
        <v>Prime Accessories 243</v>
      </c>
      <c r="AI245" t="str">
        <f t="shared" si="38"/>
        <v>First Class</v>
      </c>
      <c r="AJ245" s="3" t="str">
        <f t="shared" si="39"/>
        <v xml:space="preserve">  </v>
      </c>
      <c r="AK245">
        <f t="shared" si="40"/>
        <v>4</v>
      </c>
    </row>
    <row r="246" spans="1:37">
      <c r="A246" t="s">
        <v>1282</v>
      </c>
      <c r="B246" t="s">
        <v>636</v>
      </c>
      <c r="C246" t="s">
        <v>1283</v>
      </c>
      <c r="D246" t="s">
        <v>1284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1285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  <c r="W246" t="s">
        <v>1282</v>
      </c>
      <c r="X246" t="str">
        <v>invalid date</v>
      </c>
      <c r="Y246" t="str">
        <v>24-08-24</v>
      </c>
      <c r="Z246" t="s">
        <v>1284</v>
      </c>
      <c r="AA246" t="str">
        <v>Neha Gupta</v>
      </c>
      <c r="AB246" t="str">
        <f t="shared" si="31"/>
        <v>Consumer</v>
      </c>
      <c r="AC246" t="str">
        <f t="shared" si="32"/>
        <v>South</v>
      </c>
      <c r="AD246" t="str">
        <f t="shared" si="33"/>
        <v>Telangana</v>
      </c>
      <c r="AE246" t="str">
        <f t="shared" si="34"/>
        <v>Hyderabad</v>
      </c>
      <c r="AF246" t="str">
        <f t="shared" si="35"/>
        <v>Furniture</v>
      </c>
      <c r="AG246" t="str">
        <f t="shared" si="36"/>
        <v>Bookcases</v>
      </c>
      <c r="AH246" t="str">
        <f t="shared" si="37"/>
        <v>Eco Bookcases 768</v>
      </c>
      <c r="AI246" t="str">
        <f t="shared" si="38"/>
        <v>Same Day</v>
      </c>
      <c r="AJ246" s="3" t="str">
        <f t="shared" si="39"/>
        <v>Invalid</v>
      </c>
      <c r="AK246" t="str">
        <f t="shared" si="40"/>
        <v>invalid date</v>
      </c>
    </row>
    <row r="247" spans="1:37">
      <c r="A247" t="s">
        <v>1286</v>
      </c>
      <c r="B247" t="s">
        <v>644</v>
      </c>
      <c r="C247" t="s">
        <v>871</v>
      </c>
      <c r="D247" t="s">
        <v>1287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1288</v>
      </c>
      <c r="K247" t="s">
        <v>76</v>
      </c>
      <c r="L247" t="s">
        <v>1289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  <c r="W247" t="s">
        <v>1286</v>
      </c>
      <c r="X247" t="str">
        <v>invalid date</v>
      </c>
      <c r="Y247" t="str">
        <v>24-10-24</v>
      </c>
      <c r="Z247" t="s">
        <v>1287</v>
      </c>
      <c r="AA247" t="str">
        <v>Neha Gupta</v>
      </c>
      <c r="AB247" t="str">
        <f t="shared" si="31"/>
        <v>Home Office</v>
      </c>
      <c r="AC247" t="str">
        <f t="shared" si="32"/>
        <v>South</v>
      </c>
      <c r="AD247" t="str">
        <f t="shared" si="33"/>
        <v>Kerala</v>
      </c>
      <c r="AE247" t="str">
        <f t="shared" si="34"/>
        <v>Kochi</v>
      </c>
      <c r="AF247" t="str">
        <f t="shared" si="35"/>
        <v>Furniture</v>
      </c>
      <c r="AG247" t="str">
        <f t="shared" si="36"/>
        <v>Chairs</v>
      </c>
      <c r="AH247" t="str">
        <f t="shared" si="37"/>
        <v>Pro Chairs 316</v>
      </c>
      <c r="AI247" t="str">
        <f t="shared" si="38"/>
        <v>Second Class</v>
      </c>
      <c r="AJ247" s="3" t="str">
        <f t="shared" si="39"/>
        <v>Invalid</v>
      </c>
      <c r="AK247" t="str">
        <f t="shared" si="40"/>
        <v>invalid date</v>
      </c>
    </row>
    <row r="248" spans="1:37">
      <c r="A248" t="s">
        <v>1290</v>
      </c>
      <c r="B248" t="s">
        <v>1291</v>
      </c>
      <c r="C248" t="s">
        <v>1292</v>
      </c>
      <c r="D248" t="s">
        <v>1293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1294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  <c r="W248" t="s">
        <v>1290</v>
      </c>
      <c r="X248" t="str">
        <v>04-05-24</v>
      </c>
      <c r="Y248" t="str">
        <v>09-05-24</v>
      </c>
      <c r="Z248" t="s">
        <v>1293</v>
      </c>
      <c r="AA248" t="str">
        <v>Ananya Rao</v>
      </c>
      <c r="AB248" t="str">
        <f t="shared" si="31"/>
        <v>Corporate</v>
      </c>
      <c r="AC248" t="str">
        <f t="shared" si="32"/>
        <v>North</v>
      </c>
      <c r="AD248" t="str">
        <f t="shared" si="33"/>
        <v>Punjab</v>
      </c>
      <c r="AE248" t="str">
        <f t="shared" si="34"/>
        <v>Ludhiana</v>
      </c>
      <c r="AF248" t="str">
        <f t="shared" si="35"/>
        <v>Technology</v>
      </c>
      <c r="AG248" t="str">
        <f t="shared" si="36"/>
        <v>Machines</v>
      </c>
      <c r="AH248" t="str">
        <f t="shared" si="37"/>
        <v>Classic Machines 819</v>
      </c>
      <c r="AI248" t="str">
        <f t="shared" si="38"/>
        <v>Same Day</v>
      </c>
      <c r="AJ248" s="3" t="str">
        <f t="shared" si="39"/>
        <v>anomaly</v>
      </c>
      <c r="AK248">
        <f t="shared" si="40"/>
        <v>5</v>
      </c>
    </row>
    <row r="249" spans="1:37">
      <c r="A249" t="s">
        <v>1295</v>
      </c>
      <c r="B249" t="s">
        <v>1296</v>
      </c>
      <c r="C249" t="s">
        <v>1297</v>
      </c>
      <c r="D249" t="s">
        <v>1298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1299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  <c r="W249" t="s">
        <v>1295</v>
      </c>
      <c r="X249" t="str">
        <v>invalid date</v>
      </c>
      <c r="Y249" t="str">
        <v>01-08-24</v>
      </c>
      <c r="Z249" t="s">
        <v>1298</v>
      </c>
      <c r="AA249" t="str">
        <v>Rahul Verma</v>
      </c>
      <c r="AB249" t="str">
        <f t="shared" si="31"/>
        <v>Corporate</v>
      </c>
      <c r="AC249" t="str">
        <f t="shared" si="32"/>
        <v>North</v>
      </c>
      <c r="AD249" t="str">
        <f t="shared" si="33"/>
        <v>Rajasthan</v>
      </c>
      <c r="AE249" t="str">
        <f t="shared" si="34"/>
        <v>Jaipur</v>
      </c>
      <c r="AF249" t="str">
        <f t="shared" si="35"/>
        <v>Technology</v>
      </c>
      <c r="AG249" t="str">
        <f t="shared" si="36"/>
        <v>Accessories</v>
      </c>
      <c r="AH249" t="str">
        <f t="shared" si="37"/>
        <v>Smart Accessories 572</v>
      </c>
      <c r="AI249" t="str">
        <f t="shared" si="38"/>
        <v>Second Class</v>
      </c>
      <c r="AJ249" s="3" t="str">
        <f t="shared" si="39"/>
        <v>Invalid</v>
      </c>
      <c r="AK249" t="str">
        <f t="shared" si="40"/>
        <v>invalid date</v>
      </c>
    </row>
    <row r="250" spans="1:37">
      <c r="A250" t="s">
        <v>1300</v>
      </c>
      <c r="B250" t="s">
        <v>1301</v>
      </c>
      <c r="C250" t="s">
        <v>578</v>
      </c>
      <c r="D250" t="s">
        <v>1302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1303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  <c r="W250" t="s">
        <v>1300</v>
      </c>
      <c r="X250" t="str">
        <v>06-02-24</v>
      </c>
      <c r="Y250" t="str">
        <v>07-06-24</v>
      </c>
      <c r="Z250" t="s">
        <v>1302</v>
      </c>
      <c r="AA250" t="str">
        <v>Rohan Mehta</v>
      </c>
      <c r="AB250" t="str">
        <f t="shared" si="31"/>
        <v>Home Office</v>
      </c>
      <c r="AC250" t="str">
        <f t="shared" si="32"/>
        <v>East</v>
      </c>
      <c r="AD250" t="str">
        <f t="shared" si="33"/>
        <v>Odisha</v>
      </c>
      <c r="AE250" t="str">
        <f t="shared" si="34"/>
        <v>Bhubaneswar</v>
      </c>
      <c r="AF250" t="str">
        <f t="shared" si="35"/>
        <v>Office Supplies</v>
      </c>
      <c r="AG250" t="str">
        <f t="shared" si="36"/>
        <v>Labels</v>
      </c>
      <c r="AH250" t="str">
        <f t="shared" si="37"/>
        <v>Basic Labels 432</v>
      </c>
      <c r="AI250" t="str">
        <f t="shared" si="38"/>
        <v>Second Class</v>
      </c>
      <c r="AJ250" s="3" t="str">
        <f t="shared" si="39"/>
        <v>anomaly</v>
      </c>
      <c r="AK250">
        <f t="shared" si="40"/>
        <v>122</v>
      </c>
    </row>
    <row r="251" spans="1:37">
      <c r="A251" t="s">
        <v>1304</v>
      </c>
      <c r="B251" t="s">
        <v>819</v>
      </c>
      <c r="C251" t="s">
        <v>1305</v>
      </c>
      <c r="D251" t="s">
        <v>1306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1307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  <c r="W251" t="s">
        <v>1304</v>
      </c>
      <c r="X251" t="str">
        <v>08-01-25</v>
      </c>
      <c r="Y251" t="str">
        <v>08-02-25</v>
      </c>
      <c r="Z251" t="s">
        <v>1306</v>
      </c>
      <c r="AA251" t="str">
        <v>Mira Das</v>
      </c>
      <c r="AB251" t="str">
        <f t="shared" si="31"/>
        <v>Corporate</v>
      </c>
      <c r="AC251" t="str">
        <f t="shared" si="32"/>
        <v>North</v>
      </c>
      <c r="AD251" t="str">
        <f t="shared" si="33"/>
        <v>Rajasthan</v>
      </c>
      <c r="AE251" t="str">
        <f t="shared" si="34"/>
        <v>Jaipur</v>
      </c>
      <c r="AF251" t="str">
        <f t="shared" si="35"/>
        <v>Furniture</v>
      </c>
      <c r="AG251" t="str">
        <f t="shared" si="36"/>
        <v>Furnishings</v>
      </c>
      <c r="AH251" t="str">
        <f t="shared" si="37"/>
        <v>Classic Furnishings 378</v>
      </c>
      <c r="AI251" t="str">
        <f t="shared" si="38"/>
        <v>First Class</v>
      </c>
      <c r="AJ251" s="3" t="str">
        <f t="shared" si="39"/>
        <v>anomaly</v>
      </c>
      <c r="AK251">
        <f t="shared" si="40"/>
        <v>31</v>
      </c>
    </row>
    <row r="252" spans="1:37">
      <c r="A252" t="s">
        <v>1308</v>
      </c>
      <c r="B252" t="s">
        <v>1309</v>
      </c>
      <c r="C252" t="s">
        <v>1310</v>
      </c>
      <c r="D252" t="s">
        <v>1311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1312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  <c r="W252" t="s">
        <v>1308</v>
      </c>
      <c r="X252" t="str">
        <v>invalid date</v>
      </c>
      <c r="Y252" t="str">
        <v>invalid date</v>
      </c>
      <c r="Z252" t="s">
        <v>1311</v>
      </c>
      <c r="AA252" t="str">
        <v>Arjun Bose</v>
      </c>
      <c r="AB252" t="str">
        <f t="shared" si="31"/>
        <v>Small Business</v>
      </c>
      <c r="AC252" t="str">
        <f t="shared" si="32"/>
        <v>East</v>
      </c>
      <c r="AD252" t="str">
        <f t="shared" si="33"/>
        <v>West Bengal</v>
      </c>
      <c r="AE252" t="str">
        <f t="shared" si="34"/>
        <v>Kolkata</v>
      </c>
      <c r="AF252" t="str">
        <f t="shared" si="35"/>
        <v>Furniture</v>
      </c>
      <c r="AG252" t="str">
        <f t="shared" si="36"/>
        <v>Furnishings</v>
      </c>
      <c r="AH252" t="str">
        <f t="shared" si="37"/>
        <v>Prime Furnishings 781</v>
      </c>
      <c r="AI252" t="str">
        <f t="shared" si="38"/>
        <v>Standard Class</v>
      </c>
      <c r="AJ252" s="3" t="str">
        <f t="shared" si="39"/>
        <v>Invalid</v>
      </c>
      <c r="AK252" t="str">
        <f t="shared" si="40"/>
        <v>invalid date</v>
      </c>
    </row>
    <row r="253" spans="1:37">
      <c r="A253" t="s">
        <v>1313</v>
      </c>
      <c r="B253" t="s">
        <v>1314</v>
      </c>
      <c r="C253" t="s">
        <v>90</v>
      </c>
      <c r="D253" t="s">
        <v>1315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1316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  <c r="W253" t="s">
        <v>1313</v>
      </c>
      <c r="X253" t="str">
        <v>06-04-25</v>
      </c>
      <c r="Y253" t="str">
        <v>04-10-25</v>
      </c>
      <c r="Z253" t="s">
        <v>1315</v>
      </c>
      <c r="AA253" t="str">
        <v>Ananya Rao</v>
      </c>
      <c r="AB253" t="str">
        <f t="shared" si="31"/>
        <v>Corporate</v>
      </c>
      <c r="AC253" t="str">
        <f t="shared" si="32"/>
        <v>West</v>
      </c>
      <c r="AD253" t="str">
        <f t="shared" si="33"/>
        <v>Gujarat</v>
      </c>
      <c r="AE253" t="str">
        <f t="shared" si="34"/>
        <v>Ahmedabad</v>
      </c>
      <c r="AF253" t="str">
        <f t="shared" si="35"/>
        <v>Furniture</v>
      </c>
      <c r="AG253" t="str">
        <f t="shared" si="36"/>
        <v>Tables</v>
      </c>
      <c r="AH253" t="str">
        <f t="shared" si="37"/>
        <v>Prime Tables 263</v>
      </c>
      <c r="AI253" t="str">
        <f t="shared" si="38"/>
        <v>Second Class</v>
      </c>
      <c r="AJ253" s="3" t="str">
        <f t="shared" si="39"/>
        <v xml:space="preserve">  </v>
      </c>
      <c r="AK253">
        <f t="shared" si="40"/>
        <v>181</v>
      </c>
    </row>
    <row r="254" spans="1:37">
      <c r="A254" t="s">
        <v>1317</v>
      </c>
      <c r="B254" t="s">
        <v>1318</v>
      </c>
      <c r="C254" t="s">
        <v>1213</v>
      </c>
      <c r="D254" t="s">
        <v>1319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1320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  <c r="W254" t="s">
        <v>1317</v>
      </c>
      <c r="X254" t="str">
        <v>25-06-25</v>
      </c>
      <c r="Y254" t="str">
        <v>28-06-25</v>
      </c>
      <c r="Z254" t="s">
        <v>1319</v>
      </c>
      <c r="AA254" t="str">
        <v>Arjun Bose</v>
      </c>
      <c r="AB254" t="str">
        <f t="shared" si="31"/>
        <v>Corporate</v>
      </c>
      <c r="AC254" t="str">
        <f t="shared" si="32"/>
        <v>North</v>
      </c>
      <c r="AD254" t="str">
        <f t="shared" si="33"/>
        <v>Haryana</v>
      </c>
      <c r="AE254" t="str">
        <f t="shared" si="34"/>
        <v>Gurugram</v>
      </c>
      <c r="AF254" t="str">
        <f t="shared" si="35"/>
        <v>Office Supplies</v>
      </c>
      <c r="AG254" t="str">
        <f t="shared" si="36"/>
        <v>Storage</v>
      </c>
      <c r="AH254" t="str">
        <f t="shared" si="37"/>
        <v>Basic Storage 269</v>
      </c>
      <c r="AI254" t="str">
        <f t="shared" si="38"/>
        <v>First Class</v>
      </c>
      <c r="AJ254" s="3" t="str">
        <f t="shared" si="39"/>
        <v>anomaly</v>
      </c>
      <c r="AK254">
        <f t="shared" si="40"/>
        <v>3</v>
      </c>
    </row>
    <row r="255" spans="1:37">
      <c r="A255" t="s">
        <v>1321</v>
      </c>
      <c r="B255" t="s">
        <v>1322</v>
      </c>
      <c r="C255" t="s">
        <v>1323</v>
      </c>
      <c r="D255" t="s">
        <v>1324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1325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  <c r="W255" t="s">
        <v>1321</v>
      </c>
      <c r="X255" t="str">
        <v>12-09-24</v>
      </c>
      <c r="Y255" t="str">
        <v>invalid date</v>
      </c>
      <c r="Z255" t="s">
        <v>1324</v>
      </c>
      <c r="AA255" t="str">
        <v>Priya Menon</v>
      </c>
      <c r="AB255" t="str">
        <f t="shared" si="31"/>
        <v>Small Business</v>
      </c>
      <c r="AC255" t="str">
        <f t="shared" si="32"/>
        <v>North</v>
      </c>
      <c r="AD255" t="str">
        <f t="shared" si="33"/>
        <v>Rajasthan</v>
      </c>
      <c r="AE255" t="str">
        <f t="shared" si="34"/>
        <v>Jaipur</v>
      </c>
      <c r="AF255" t="str">
        <f t="shared" si="35"/>
        <v>Technology</v>
      </c>
      <c r="AG255" t="str">
        <f t="shared" si="36"/>
        <v>Phones</v>
      </c>
      <c r="AH255" t="str">
        <f t="shared" si="37"/>
        <v>Classic Phones 442</v>
      </c>
      <c r="AI255" t="str">
        <f t="shared" si="38"/>
        <v>Same Day</v>
      </c>
      <c r="AJ255" s="3" t="str">
        <f t="shared" si="39"/>
        <v>Invalid</v>
      </c>
      <c r="AK255" t="str">
        <f t="shared" si="40"/>
        <v>invalid date</v>
      </c>
    </row>
    <row r="256" spans="1:37">
      <c r="A256" t="s">
        <v>1326</v>
      </c>
      <c r="B256" t="s">
        <v>1327</v>
      </c>
      <c r="C256" t="s">
        <v>1328</v>
      </c>
      <c r="D256" t="s">
        <v>1329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1330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  <c r="W256" t="s">
        <v>1326</v>
      </c>
      <c r="X256" t="str">
        <v>01-01-25</v>
      </c>
      <c r="Y256" t="str">
        <v>03-01-25</v>
      </c>
      <c r="Z256" t="s">
        <v>1329</v>
      </c>
      <c r="AA256" t="str">
        <v>Ananya Rao</v>
      </c>
      <c r="AB256" t="str">
        <f t="shared" si="31"/>
        <v>Consumer</v>
      </c>
      <c r="AC256" t="str">
        <f t="shared" si="32"/>
        <v>West</v>
      </c>
      <c r="AD256" t="str">
        <f t="shared" si="33"/>
        <v>Madhya Pradesh</v>
      </c>
      <c r="AE256" t="str">
        <f t="shared" si="34"/>
        <v>Indore</v>
      </c>
      <c r="AF256" t="str">
        <f t="shared" si="35"/>
        <v>Technology</v>
      </c>
      <c r="AG256" t="str">
        <f t="shared" si="36"/>
        <v>Accessories</v>
      </c>
      <c r="AH256" t="str">
        <f t="shared" si="37"/>
        <v>Elite Accessories 978</v>
      </c>
      <c r="AI256" t="str">
        <f t="shared" si="38"/>
        <v>Same Day</v>
      </c>
      <c r="AJ256" s="3" t="str">
        <f t="shared" si="39"/>
        <v>anomaly</v>
      </c>
      <c r="AK256">
        <f t="shared" si="40"/>
        <v>2</v>
      </c>
    </row>
    <row r="257" spans="1:37">
      <c r="A257" t="s">
        <v>1331</v>
      </c>
      <c r="B257" t="s">
        <v>1332</v>
      </c>
      <c r="C257" t="s">
        <v>1333</v>
      </c>
      <c r="D257" t="s">
        <v>1334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1335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  <c r="W257" t="s">
        <v>1331</v>
      </c>
      <c r="X257" t="str">
        <v>04-02-25</v>
      </c>
      <c r="Y257" t="str">
        <v>02-10-25</v>
      </c>
      <c r="Z257" t="s">
        <v>1334</v>
      </c>
      <c r="AA257" t="str">
        <v>Isha Nair</v>
      </c>
      <c r="AB257" t="str">
        <f t="shared" si="31"/>
        <v>Corporate</v>
      </c>
      <c r="AC257" t="str">
        <f t="shared" si="32"/>
        <v>West</v>
      </c>
      <c r="AD257" t="str">
        <f t="shared" si="33"/>
        <v>Maharashtra</v>
      </c>
      <c r="AE257" t="str">
        <f t="shared" si="34"/>
        <v>Mumbai</v>
      </c>
      <c r="AF257" t="str">
        <f t="shared" si="35"/>
        <v>Technology</v>
      </c>
      <c r="AG257" t="str">
        <f t="shared" si="36"/>
        <v>Phones</v>
      </c>
      <c r="AH257" t="str">
        <f t="shared" si="37"/>
        <v>Eco Phones 132</v>
      </c>
      <c r="AI257" t="str">
        <f t="shared" si="38"/>
        <v>First Class</v>
      </c>
      <c r="AJ257" s="3" t="str">
        <f t="shared" si="39"/>
        <v xml:space="preserve">  </v>
      </c>
      <c r="AK257">
        <f t="shared" si="40"/>
        <v>240</v>
      </c>
    </row>
    <row r="258" spans="1:37">
      <c r="A258" t="s">
        <v>1336</v>
      </c>
      <c r="B258" t="s">
        <v>1337</v>
      </c>
      <c r="C258" t="s">
        <v>483</v>
      </c>
      <c r="D258" t="s">
        <v>1338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1339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  <c r="W258" t="s">
        <v>1336</v>
      </c>
      <c r="X258" t="str">
        <v>05-11-24</v>
      </c>
      <c r="Y258" t="str">
        <v>03-11-24</v>
      </c>
      <c r="Z258" t="s">
        <v>1338</v>
      </c>
      <c r="AA258" t="str">
        <v>Ananya Rao</v>
      </c>
      <c r="AB258" t="str">
        <f t="shared" si="31"/>
        <v>Consumer</v>
      </c>
      <c r="AC258" t="str">
        <f t="shared" si="32"/>
        <v>East</v>
      </c>
      <c r="AD258" t="str">
        <f t="shared" si="33"/>
        <v>West Bengal</v>
      </c>
      <c r="AE258" t="str">
        <f t="shared" si="34"/>
        <v>Kolkata</v>
      </c>
      <c r="AF258" t="str">
        <f t="shared" si="35"/>
        <v>Furniture</v>
      </c>
      <c r="AG258" t="str">
        <f t="shared" si="36"/>
        <v>Tables</v>
      </c>
      <c r="AH258" t="str">
        <f t="shared" si="37"/>
        <v>Prime Tables 481</v>
      </c>
      <c r="AI258" t="str">
        <f t="shared" si="38"/>
        <v>First Class</v>
      </c>
      <c r="AJ258" s="3" t="str">
        <f t="shared" si="39"/>
        <v xml:space="preserve">  </v>
      </c>
      <c r="AK258">
        <f t="shared" si="40"/>
        <v>-2</v>
      </c>
    </row>
    <row r="259" spans="1:37">
      <c r="A259" t="s">
        <v>1340</v>
      </c>
      <c r="B259" t="s">
        <v>1341</v>
      </c>
      <c r="C259" t="s">
        <v>1342</v>
      </c>
      <c r="D259" t="s">
        <v>1343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1344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  <c r="W259" t="s">
        <v>1340</v>
      </c>
      <c r="X259" t="str">
        <v>09-08-25</v>
      </c>
      <c r="Y259" t="str">
        <v>12-08-25</v>
      </c>
      <c r="Z259" t="s">
        <v>1343</v>
      </c>
      <c r="AA259" t="str">
        <v>Diya Patel</v>
      </c>
      <c r="AB259" t="str">
        <f t="shared" ref="AB259:AB322" si="41">TRIM(PROPER(F:F))</f>
        <v>Corporate</v>
      </c>
      <c r="AC259" t="str">
        <f t="shared" ref="AC259:AC322" si="42">TRIM(PROPER(G:G))</f>
        <v>South</v>
      </c>
      <c r="AD259" t="str">
        <f t="shared" ref="AD259:AD322" si="43">TRIM(PROPER(H:H))</f>
        <v>Karnataka</v>
      </c>
      <c r="AE259" t="str">
        <f t="shared" ref="AE259:AE322" si="44">TRIM(PROPER(I:I))</f>
        <v>Bengaluru</v>
      </c>
      <c r="AF259" t="str">
        <f t="shared" ref="AF259:AF322" si="45">TRIM(PROPER(J:J))</f>
        <v>Technology</v>
      </c>
      <c r="AG259" t="str">
        <f t="shared" ref="AG259:AG322" si="46">TRIM(PROPER(K:K))</f>
        <v>Accessories</v>
      </c>
      <c r="AH259" t="str">
        <f t="shared" ref="AH259:AH322" si="47">TRIM(PROPER(L:L))</f>
        <v>Smart Accessories 180</v>
      </c>
      <c r="AI259" t="str">
        <f t="shared" ref="AI259:AI322" si="48">TRIM(PROPER(M:M))</f>
        <v>Second Class</v>
      </c>
      <c r="AJ259" s="3" t="str">
        <f t="shared" ref="AJ259:AJ322" si="49">IF(OR(X:X="Invalid Date",Y:Y="Invalid Date"),"Invalid",(IF(X:X&lt;Y:Y,"anomaly", "  ")))</f>
        <v>anomaly</v>
      </c>
      <c r="AK259">
        <f t="shared" ref="AK259:AK322" si="50">IFERROR(Y259-X259, "invalid date")</f>
        <v>3</v>
      </c>
    </row>
    <row r="260" spans="1:37">
      <c r="A260" t="s">
        <v>1345</v>
      </c>
      <c r="B260" t="s">
        <v>824</v>
      </c>
      <c r="C260" t="s">
        <v>1346</v>
      </c>
      <c r="D260" t="s">
        <v>1347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1348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  <c r="W260" t="s">
        <v>1345</v>
      </c>
      <c r="X260" t="str">
        <v>30-12-24</v>
      </c>
      <c r="Y260" t="str">
        <v>04-01-25</v>
      </c>
      <c r="Z260" t="s">
        <v>1347</v>
      </c>
      <c r="AA260" t="str">
        <v>Sneha Kapoor</v>
      </c>
      <c r="AB260" t="str">
        <f t="shared" si="41"/>
        <v>Corporate</v>
      </c>
      <c r="AC260" t="str">
        <f t="shared" si="42"/>
        <v>South</v>
      </c>
      <c r="AD260" t="str">
        <f t="shared" si="43"/>
        <v>Tamil Nadu</v>
      </c>
      <c r="AE260" t="str">
        <f t="shared" si="44"/>
        <v>Chennai</v>
      </c>
      <c r="AF260" t="str">
        <f t="shared" si="45"/>
        <v>Furniture</v>
      </c>
      <c r="AG260" t="str">
        <f t="shared" si="46"/>
        <v>Tables</v>
      </c>
      <c r="AH260" t="str">
        <f t="shared" si="47"/>
        <v>Smart Tables 774</v>
      </c>
      <c r="AI260" t="str">
        <f t="shared" si="48"/>
        <v>Same Day</v>
      </c>
      <c r="AJ260" s="3" t="str">
        <f t="shared" si="49"/>
        <v xml:space="preserve">  </v>
      </c>
      <c r="AK260">
        <f t="shared" si="50"/>
        <v>5</v>
      </c>
    </row>
    <row r="261" spans="1:37">
      <c r="A261" t="s">
        <v>1349</v>
      </c>
      <c r="B261" t="s">
        <v>1350</v>
      </c>
      <c r="C261" t="s">
        <v>1351</v>
      </c>
      <c r="D261" t="s">
        <v>1352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1353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  <c r="W261" t="s">
        <v>1349</v>
      </c>
      <c r="X261" t="str">
        <v>invalid date</v>
      </c>
      <c r="Y261" t="str">
        <v>29-06-24</v>
      </c>
      <c r="Z261" t="s">
        <v>1352</v>
      </c>
      <c r="AA261" t="str">
        <v>Neha Gupta</v>
      </c>
      <c r="AB261" t="str">
        <f t="shared" si="41"/>
        <v>Consumer</v>
      </c>
      <c r="AC261" t="str">
        <f t="shared" si="42"/>
        <v>South</v>
      </c>
      <c r="AD261" t="str">
        <f t="shared" si="43"/>
        <v>Tamil Nadu</v>
      </c>
      <c r="AE261" t="str">
        <f t="shared" si="44"/>
        <v>Chennai</v>
      </c>
      <c r="AF261" t="str">
        <f t="shared" si="45"/>
        <v>Technology</v>
      </c>
      <c r="AG261" t="str">
        <f t="shared" si="46"/>
        <v>Machines</v>
      </c>
      <c r="AH261" t="str">
        <f t="shared" si="47"/>
        <v>Prime Machines 793</v>
      </c>
      <c r="AI261" t="str">
        <f t="shared" si="48"/>
        <v>Standard Class</v>
      </c>
      <c r="AJ261" s="3" t="str">
        <f t="shared" si="49"/>
        <v>Invalid</v>
      </c>
      <c r="AK261" t="str">
        <f t="shared" si="50"/>
        <v>invalid date</v>
      </c>
    </row>
    <row r="262" spans="1:37">
      <c r="A262" t="s">
        <v>1354</v>
      </c>
      <c r="B262" t="s">
        <v>1355</v>
      </c>
      <c r="C262" t="s">
        <v>1356</v>
      </c>
      <c r="D262" t="s">
        <v>1357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1358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  <c r="W262" t="s">
        <v>1354</v>
      </c>
      <c r="X262" t="str">
        <v>23-09-25</v>
      </c>
      <c r="Y262" t="str">
        <v>invalid date</v>
      </c>
      <c r="Z262" t="s">
        <v>1357</v>
      </c>
      <c r="AA262" t="str">
        <v>Aditi Sen</v>
      </c>
      <c r="AB262" t="str">
        <f t="shared" si="41"/>
        <v>Corporate</v>
      </c>
      <c r="AC262" t="str">
        <f t="shared" si="42"/>
        <v>East</v>
      </c>
      <c r="AD262" t="str">
        <f t="shared" si="43"/>
        <v>West Bengal</v>
      </c>
      <c r="AE262" t="str">
        <f t="shared" si="44"/>
        <v>Kolkata</v>
      </c>
      <c r="AF262" t="str">
        <f t="shared" si="45"/>
        <v>Office Supplies</v>
      </c>
      <c r="AG262" t="str">
        <f t="shared" si="46"/>
        <v>Binders</v>
      </c>
      <c r="AH262" t="str">
        <f t="shared" si="47"/>
        <v>Elite Binders 827</v>
      </c>
      <c r="AI262" t="str">
        <f t="shared" si="48"/>
        <v>Same Day</v>
      </c>
      <c r="AJ262" s="3" t="str">
        <f t="shared" si="49"/>
        <v>Invalid</v>
      </c>
      <c r="AK262" t="str">
        <f t="shared" si="50"/>
        <v>invalid date</v>
      </c>
    </row>
    <row r="263" spans="1:37">
      <c r="A263" t="s">
        <v>1359</v>
      </c>
      <c r="B263" t="s">
        <v>1360</v>
      </c>
      <c r="C263" t="s">
        <v>1361</v>
      </c>
      <c r="D263" t="s">
        <v>1362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1363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  <c r="W263" t="s">
        <v>1359</v>
      </c>
      <c r="X263" t="str">
        <v>invalid date</v>
      </c>
      <c r="Y263" t="str">
        <v>invalid date</v>
      </c>
      <c r="Z263" t="s">
        <v>1362</v>
      </c>
      <c r="AA263" t="str">
        <v>Sneha Kapoor</v>
      </c>
      <c r="AB263" t="str">
        <f t="shared" si="41"/>
        <v>Corporate</v>
      </c>
      <c r="AC263" t="str">
        <f t="shared" si="42"/>
        <v>North</v>
      </c>
      <c r="AD263" t="str">
        <f t="shared" si="43"/>
        <v>Rajasthan</v>
      </c>
      <c r="AE263" t="str">
        <f t="shared" si="44"/>
        <v>Jaipur</v>
      </c>
      <c r="AF263" t="str">
        <f t="shared" si="45"/>
        <v>Office Supplies</v>
      </c>
      <c r="AG263" t="str">
        <f t="shared" si="46"/>
        <v>Labels</v>
      </c>
      <c r="AH263" t="str">
        <f t="shared" si="47"/>
        <v>Prime Labels 326</v>
      </c>
      <c r="AI263" t="str">
        <f t="shared" si="48"/>
        <v>Standard Class</v>
      </c>
      <c r="AJ263" s="3" t="str">
        <f t="shared" si="49"/>
        <v>Invalid</v>
      </c>
      <c r="AK263" t="str">
        <f t="shared" si="50"/>
        <v>invalid date</v>
      </c>
    </row>
    <row r="264" spans="1:37">
      <c r="A264" t="s">
        <v>1364</v>
      </c>
      <c r="B264" t="s">
        <v>1365</v>
      </c>
      <c r="C264" t="s">
        <v>1366</v>
      </c>
      <c r="D264" t="s">
        <v>949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1367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  <c r="W264" t="s">
        <v>1364</v>
      </c>
      <c r="X264" t="str">
        <v>26-05-25</v>
      </c>
      <c r="Y264" t="str">
        <v>01-06-25</v>
      </c>
      <c r="Z264" t="s">
        <v>949</v>
      </c>
      <c r="AA264" t="str">
        <v>Arjun Bose</v>
      </c>
      <c r="AB264" t="str">
        <f t="shared" si="41"/>
        <v>Small Business</v>
      </c>
      <c r="AC264" t="str">
        <f t="shared" si="42"/>
        <v>North</v>
      </c>
      <c r="AD264" t="str">
        <f t="shared" si="43"/>
        <v>Delhi</v>
      </c>
      <c r="AE264" t="str">
        <f t="shared" si="44"/>
        <v>New Delhi</v>
      </c>
      <c r="AF264" t="str">
        <f t="shared" si="45"/>
        <v>Technology</v>
      </c>
      <c r="AG264" t="str">
        <f t="shared" si="46"/>
        <v>Phones</v>
      </c>
      <c r="AH264" t="str">
        <f t="shared" si="47"/>
        <v>Eco Phones 245</v>
      </c>
      <c r="AI264" t="str">
        <f t="shared" si="48"/>
        <v>Same Day</v>
      </c>
      <c r="AJ264" s="3" t="str">
        <f t="shared" si="49"/>
        <v xml:space="preserve">  </v>
      </c>
      <c r="AK264">
        <f t="shared" si="50"/>
        <v>6</v>
      </c>
    </row>
    <row r="265" spans="1:37">
      <c r="A265" t="s">
        <v>1368</v>
      </c>
      <c r="B265" t="s">
        <v>1369</v>
      </c>
      <c r="C265" t="s">
        <v>943</v>
      </c>
      <c r="D265" t="s">
        <v>1370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1371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  <c r="W265" t="s">
        <v>1368</v>
      </c>
      <c r="X265" t="str">
        <v>06-08-25</v>
      </c>
      <c r="Y265" t="str">
        <v>10-08-25</v>
      </c>
      <c r="Z265" t="s">
        <v>1370</v>
      </c>
      <c r="AA265" t="str">
        <v>Rohan Mehta</v>
      </c>
      <c r="AB265" t="str">
        <f t="shared" si="41"/>
        <v>Small Business</v>
      </c>
      <c r="AC265" t="str">
        <f t="shared" si="42"/>
        <v>North</v>
      </c>
      <c r="AD265" t="str">
        <f t="shared" si="43"/>
        <v>Delhi</v>
      </c>
      <c r="AE265" t="str">
        <f t="shared" si="44"/>
        <v>New Delhi</v>
      </c>
      <c r="AF265" t="str">
        <f t="shared" si="45"/>
        <v>Office Supplies</v>
      </c>
      <c r="AG265" t="str">
        <f t="shared" si="46"/>
        <v>Binders</v>
      </c>
      <c r="AH265" t="str">
        <f t="shared" si="47"/>
        <v>Smart Binders 905</v>
      </c>
      <c r="AI265" t="str">
        <f t="shared" si="48"/>
        <v>Second Class</v>
      </c>
      <c r="AJ265" s="3" t="str">
        <f t="shared" si="49"/>
        <v>anomaly</v>
      </c>
      <c r="AK265">
        <f t="shared" si="50"/>
        <v>4</v>
      </c>
    </row>
    <row r="266" spans="1:37">
      <c r="A266" t="s">
        <v>1372</v>
      </c>
      <c r="B266" t="s">
        <v>1373</v>
      </c>
      <c r="C266" t="s">
        <v>1374</v>
      </c>
      <c r="D266" t="s">
        <v>1375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1376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  <c r="W266" t="s">
        <v>1372</v>
      </c>
      <c r="X266" t="str">
        <v>16-05-24</v>
      </c>
      <c r="Y266" t="str">
        <v>invalid date</v>
      </c>
      <c r="Z266" t="s">
        <v>1375</v>
      </c>
      <c r="AA266" t="str">
        <v>Diya Patel</v>
      </c>
      <c r="AB266" t="str">
        <f t="shared" si="41"/>
        <v>Small Business</v>
      </c>
      <c r="AC266" t="str">
        <f t="shared" si="42"/>
        <v>East</v>
      </c>
      <c r="AD266" t="str">
        <f t="shared" si="43"/>
        <v>Bihar</v>
      </c>
      <c r="AE266" t="str">
        <f t="shared" si="44"/>
        <v>Patna</v>
      </c>
      <c r="AF266" t="str">
        <f t="shared" si="45"/>
        <v>Technology</v>
      </c>
      <c r="AG266" t="str">
        <f t="shared" si="46"/>
        <v>Copiers</v>
      </c>
      <c r="AH266" t="str">
        <f t="shared" si="47"/>
        <v>Pro Copiers 599</v>
      </c>
      <c r="AI266" t="str">
        <f t="shared" si="48"/>
        <v>Standard Class</v>
      </c>
      <c r="AJ266" s="3" t="str">
        <f t="shared" si="49"/>
        <v>Invalid</v>
      </c>
      <c r="AK266" t="str">
        <f t="shared" si="50"/>
        <v>invalid date</v>
      </c>
    </row>
    <row r="267" spans="1:37">
      <c r="A267" t="s">
        <v>1377</v>
      </c>
      <c r="B267" t="s">
        <v>1378</v>
      </c>
      <c r="C267" t="s">
        <v>910</v>
      </c>
      <c r="D267" t="s">
        <v>1379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1380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  <c r="W267" t="s">
        <v>1377</v>
      </c>
      <c r="X267" t="str">
        <v>14-11-24</v>
      </c>
      <c r="Y267" t="str">
        <v>invalid date</v>
      </c>
      <c r="Z267" t="s">
        <v>1379</v>
      </c>
      <c r="AA267" t="str">
        <v>Priya Menon</v>
      </c>
      <c r="AB267" t="str">
        <f t="shared" si="41"/>
        <v>Corporate</v>
      </c>
      <c r="AC267" t="str">
        <f t="shared" si="42"/>
        <v>East</v>
      </c>
      <c r="AD267" t="str">
        <f t="shared" si="43"/>
        <v>Bihar</v>
      </c>
      <c r="AE267" t="str">
        <f t="shared" si="44"/>
        <v>Patna</v>
      </c>
      <c r="AF267" t="str">
        <f t="shared" si="45"/>
        <v>Furniture</v>
      </c>
      <c r="AG267" t="str">
        <f t="shared" si="46"/>
        <v>Bookcases</v>
      </c>
      <c r="AH267" t="str">
        <f t="shared" si="47"/>
        <v>Basic Bookcases 570</v>
      </c>
      <c r="AI267" t="str">
        <f t="shared" si="48"/>
        <v>Same Day</v>
      </c>
      <c r="AJ267" s="3" t="str">
        <f t="shared" si="49"/>
        <v>Invalid</v>
      </c>
      <c r="AK267" t="str">
        <f t="shared" si="50"/>
        <v>invalid date</v>
      </c>
    </row>
    <row r="268" spans="1:37">
      <c r="A268" t="s">
        <v>1381</v>
      </c>
      <c r="B268" t="s">
        <v>1382</v>
      </c>
      <c r="C268" t="s">
        <v>1383</v>
      </c>
      <c r="D268" t="s">
        <v>1384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1385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  <c r="W268" t="s">
        <v>1381</v>
      </c>
      <c r="X268" t="str">
        <v>03-05-25</v>
      </c>
      <c r="Y268" t="str">
        <v>10-05-25</v>
      </c>
      <c r="Z268" t="s">
        <v>1384</v>
      </c>
      <c r="AA268" t="str">
        <v>Neha Gupta</v>
      </c>
      <c r="AB268" t="str">
        <f t="shared" si="41"/>
        <v>Home Office</v>
      </c>
      <c r="AC268" t="str">
        <f t="shared" si="42"/>
        <v>West</v>
      </c>
      <c r="AD268" t="str">
        <f t="shared" si="43"/>
        <v>Maharashtra</v>
      </c>
      <c r="AE268" t="str">
        <f t="shared" si="44"/>
        <v>Mumbai</v>
      </c>
      <c r="AF268" t="str">
        <f t="shared" si="45"/>
        <v>Office Supplies</v>
      </c>
      <c r="AG268" t="str">
        <f t="shared" si="46"/>
        <v>Storage</v>
      </c>
      <c r="AH268" t="str">
        <f t="shared" si="47"/>
        <v>Classic Storage 926</v>
      </c>
      <c r="AI268" t="str">
        <f t="shared" si="48"/>
        <v>Second Class</v>
      </c>
      <c r="AJ268" s="3" t="str">
        <f t="shared" si="49"/>
        <v>anomaly</v>
      </c>
      <c r="AK268">
        <f t="shared" si="50"/>
        <v>7</v>
      </c>
    </row>
    <row r="269" spans="1:37">
      <c r="A269" t="s">
        <v>1386</v>
      </c>
      <c r="B269" t="s">
        <v>1017</v>
      </c>
      <c r="C269" t="s">
        <v>1387</v>
      </c>
      <c r="D269" t="s">
        <v>1388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1389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  <c r="W269" t="s">
        <v>1386</v>
      </c>
      <c r="X269" t="str">
        <v>28-05-25</v>
      </c>
      <c r="Y269" t="str">
        <v>04-06-25</v>
      </c>
      <c r="Z269" t="s">
        <v>1388</v>
      </c>
      <c r="AA269" t="str">
        <v>Diya Patel</v>
      </c>
      <c r="AB269" t="str">
        <f t="shared" si="41"/>
        <v>Corporate</v>
      </c>
      <c r="AC269" t="str">
        <f t="shared" si="42"/>
        <v>East</v>
      </c>
      <c r="AD269" t="str">
        <f t="shared" si="43"/>
        <v>Jharkhand</v>
      </c>
      <c r="AE269" t="str">
        <f t="shared" si="44"/>
        <v>Ranchi</v>
      </c>
      <c r="AF269" t="str">
        <f t="shared" si="45"/>
        <v>Furniture</v>
      </c>
      <c r="AG269" t="str">
        <f t="shared" si="46"/>
        <v>Furnishings</v>
      </c>
      <c r="AH269" t="str">
        <f t="shared" si="47"/>
        <v>Basic Furnishings 372</v>
      </c>
      <c r="AI269" t="str">
        <f t="shared" si="48"/>
        <v>First Class</v>
      </c>
      <c r="AJ269" s="3" t="str">
        <f t="shared" si="49"/>
        <v xml:space="preserve">  </v>
      </c>
      <c r="AK269">
        <f t="shared" si="50"/>
        <v>7</v>
      </c>
    </row>
    <row r="270" spans="1:37">
      <c r="A270" t="s">
        <v>1390</v>
      </c>
      <c r="B270" t="s">
        <v>1391</v>
      </c>
      <c r="C270" t="s">
        <v>1391</v>
      </c>
      <c r="D270" t="s">
        <v>1392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1393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  <c r="W270" t="s">
        <v>1390</v>
      </c>
      <c r="X270" t="str">
        <v>invalid date</v>
      </c>
      <c r="Y270" t="str">
        <v>invalid date</v>
      </c>
      <c r="Z270" t="s">
        <v>1392</v>
      </c>
      <c r="AA270" t="str">
        <v>Aarav Sharma</v>
      </c>
      <c r="AB270" t="str">
        <f t="shared" si="41"/>
        <v>Home Office</v>
      </c>
      <c r="AC270" t="str">
        <f t="shared" si="42"/>
        <v>North</v>
      </c>
      <c r="AD270" t="str">
        <f t="shared" si="43"/>
        <v>Punjab</v>
      </c>
      <c r="AE270" t="str">
        <f t="shared" si="44"/>
        <v>Ludhiana</v>
      </c>
      <c r="AF270" t="str">
        <f t="shared" si="45"/>
        <v>Technology</v>
      </c>
      <c r="AG270" t="str">
        <f t="shared" si="46"/>
        <v>Accessories</v>
      </c>
      <c r="AH270" t="str">
        <f t="shared" si="47"/>
        <v>Prime Accessories 367</v>
      </c>
      <c r="AI270" t="str">
        <f t="shared" si="48"/>
        <v>First Class</v>
      </c>
      <c r="AJ270" s="3" t="str">
        <f t="shared" si="49"/>
        <v>Invalid</v>
      </c>
      <c r="AK270" t="str">
        <f t="shared" si="50"/>
        <v>invalid date</v>
      </c>
    </row>
    <row r="271" spans="1:37">
      <c r="A271" t="s">
        <v>1394</v>
      </c>
      <c r="B271" t="s">
        <v>1333</v>
      </c>
      <c r="C271" t="s">
        <v>1395</v>
      </c>
      <c r="D271" t="s">
        <v>1396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1397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  <c r="W271" t="s">
        <v>1394</v>
      </c>
      <c r="X271" t="str">
        <v>02-10-25</v>
      </c>
      <c r="Y271" t="str">
        <v>02-12-25</v>
      </c>
      <c r="Z271" t="s">
        <v>1396</v>
      </c>
      <c r="AA271" t="str">
        <v>Rahul Verma</v>
      </c>
      <c r="AB271" t="str">
        <f t="shared" si="41"/>
        <v>Small Business</v>
      </c>
      <c r="AC271" t="str">
        <f t="shared" si="42"/>
        <v>West</v>
      </c>
      <c r="AD271" t="str">
        <f t="shared" si="43"/>
        <v>Rajasthan</v>
      </c>
      <c r="AE271" t="str">
        <f t="shared" si="44"/>
        <v>Udaipur</v>
      </c>
      <c r="AF271" t="str">
        <f t="shared" si="45"/>
        <v>Furniture</v>
      </c>
      <c r="AG271" t="str">
        <f t="shared" si="46"/>
        <v>Tables</v>
      </c>
      <c r="AH271" t="str">
        <f t="shared" si="47"/>
        <v>Max Tables 526</v>
      </c>
      <c r="AI271" t="str">
        <f t="shared" si="48"/>
        <v>Same Day</v>
      </c>
      <c r="AJ271" s="3" t="str">
        <f t="shared" si="49"/>
        <v>anomaly</v>
      </c>
      <c r="AK271">
        <f t="shared" si="50"/>
        <v>61</v>
      </c>
    </row>
    <row r="272" spans="1:37">
      <c r="A272" t="s">
        <v>1398</v>
      </c>
      <c r="B272" t="s">
        <v>1256</v>
      </c>
      <c r="C272" t="s">
        <v>563</v>
      </c>
      <c r="D272" t="s">
        <v>1399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1400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  <c r="W272" t="s">
        <v>1398</v>
      </c>
      <c r="X272" t="str">
        <v>01-12-24</v>
      </c>
      <c r="Y272" t="str">
        <v>13-01-24</v>
      </c>
      <c r="Z272" t="s">
        <v>1399</v>
      </c>
      <c r="AA272" t="str">
        <v>Aditi Sen</v>
      </c>
      <c r="AB272" t="str">
        <f t="shared" si="41"/>
        <v>Corporate</v>
      </c>
      <c r="AC272" t="str">
        <f t="shared" si="42"/>
        <v>North</v>
      </c>
      <c r="AD272" t="str">
        <f t="shared" si="43"/>
        <v>Uttar Pradesh</v>
      </c>
      <c r="AE272" t="str">
        <f t="shared" si="44"/>
        <v>Noida</v>
      </c>
      <c r="AF272" t="str">
        <f t="shared" si="45"/>
        <v>Technology</v>
      </c>
      <c r="AG272" t="str">
        <f t="shared" si="46"/>
        <v>Machines</v>
      </c>
      <c r="AH272" t="str">
        <f t="shared" si="47"/>
        <v>Prime Machines 794</v>
      </c>
      <c r="AI272" t="str">
        <f t="shared" si="48"/>
        <v>Same Day</v>
      </c>
      <c r="AJ272" s="3" t="str">
        <f t="shared" si="49"/>
        <v>anomaly</v>
      </c>
      <c r="AK272">
        <f t="shared" si="50"/>
        <v>-323</v>
      </c>
    </row>
    <row r="273" spans="1:37">
      <c r="A273" t="s">
        <v>1401</v>
      </c>
      <c r="B273" t="s">
        <v>1402</v>
      </c>
      <c r="C273" t="s">
        <v>1403</v>
      </c>
      <c r="D273" t="s">
        <v>1404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1405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  <c r="W273" t="s">
        <v>1401</v>
      </c>
      <c r="X273" t="str">
        <v>21-12-24</v>
      </c>
      <c r="Y273" t="str">
        <v>25-12-24</v>
      </c>
      <c r="Z273" t="s">
        <v>1404</v>
      </c>
      <c r="AA273" t="str">
        <v>Aditi Sen</v>
      </c>
      <c r="AB273" t="str">
        <f t="shared" si="41"/>
        <v>Consumer</v>
      </c>
      <c r="AC273" t="str">
        <f t="shared" si="42"/>
        <v>South</v>
      </c>
      <c r="AD273" t="str">
        <f t="shared" si="43"/>
        <v>Telangana</v>
      </c>
      <c r="AE273" t="str">
        <f t="shared" si="44"/>
        <v>Hyderabad</v>
      </c>
      <c r="AF273" t="str">
        <f t="shared" si="45"/>
        <v>Office Supplies</v>
      </c>
      <c r="AG273" t="str">
        <f t="shared" si="46"/>
        <v>Binders</v>
      </c>
      <c r="AH273" t="str">
        <f t="shared" si="47"/>
        <v>Max Binders 927</v>
      </c>
      <c r="AI273" t="str">
        <f t="shared" si="48"/>
        <v>Standard Class</v>
      </c>
      <c r="AJ273" s="3" t="str">
        <f t="shared" si="49"/>
        <v>anomaly</v>
      </c>
      <c r="AK273">
        <f t="shared" si="50"/>
        <v>4</v>
      </c>
    </row>
    <row r="274" spans="1:37">
      <c r="A274" t="s">
        <v>1406</v>
      </c>
      <c r="B274" t="s">
        <v>1407</v>
      </c>
      <c r="C274" t="s">
        <v>1408</v>
      </c>
      <c r="D274" t="s">
        <v>1409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1410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  <c r="W274" t="s">
        <v>1406</v>
      </c>
      <c r="X274" t="str">
        <v>invalid date</v>
      </c>
      <c r="Y274" t="str">
        <v>24-08-24</v>
      </c>
      <c r="Z274" t="s">
        <v>1409</v>
      </c>
      <c r="AA274" t="str">
        <v>Arjun Bose</v>
      </c>
      <c r="AB274" t="str">
        <f t="shared" si="41"/>
        <v>Consumer</v>
      </c>
      <c r="AC274" t="str">
        <f t="shared" si="42"/>
        <v>South</v>
      </c>
      <c r="AD274" t="str">
        <f t="shared" si="43"/>
        <v>Andhra Pradesh</v>
      </c>
      <c r="AE274" t="str">
        <f t="shared" si="44"/>
        <v>Vijayawada</v>
      </c>
      <c r="AF274" t="str">
        <f t="shared" si="45"/>
        <v>Furniture</v>
      </c>
      <c r="AG274" t="str">
        <f t="shared" si="46"/>
        <v>Chairs</v>
      </c>
      <c r="AH274" t="str">
        <f t="shared" si="47"/>
        <v>Eco Chairs 314</v>
      </c>
      <c r="AI274" t="str">
        <f t="shared" si="48"/>
        <v>First Class</v>
      </c>
      <c r="AJ274" s="3" t="str">
        <f t="shared" si="49"/>
        <v>Invalid</v>
      </c>
      <c r="AK274" t="str">
        <f t="shared" si="50"/>
        <v>invalid date</v>
      </c>
    </row>
    <row r="275" spans="1:37">
      <c r="A275" t="s">
        <v>1411</v>
      </c>
      <c r="B275" t="s">
        <v>1412</v>
      </c>
      <c r="C275" t="s">
        <v>1413</v>
      </c>
      <c r="D275" t="s">
        <v>1414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1415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  <c r="W275" t="s">
        <v>1411</v>
      </c>
      <c r="X275" t="str">
        <v>invalid date</v>
      </c>
      <c r="Y275" t="str">
        <v>13-02-25</v>
      </c>
      <c r="Z275" t="s">
        <v>1414</v>
      </c>
      <c r="AA275" t="str">
        <v>Isha Nair</v>
      </c>
      <c r="AB275" t="str">
        <f t="shared" si="41"/>
        <v>Consumer</v>
      </c>
      <c r="AC275" t="str">
        <f t="shared" si="42"/>
        <v>East</v>
      </c>
      <c r="AD275" t="str">
        <f t="shared" si="43"/>
        <v>Bihar</v>
      </c>
      <c r="AE275" t="str">
        <f t="shared" si="44"/>
        <v>Patna</v>
      </c>
      <c r="AF275" t="str">
        <f t="shared" si="45"/>
        <v>Office Supplies</v>
      </c>
      <c r="AG275" t="str">
        <f t="shared" si="46"/>
        <v>Paper</v>
      </c>
      <c r="AH275" t="str">
        <f t="shared" si="47"/>
        <v>Basic Paper 657</v>
      </c>
      <c r="AI275" t="str">
        <f t="shared" si="48"/>
        <v>Second Class</v>
      </c>
      <c r="AJ275" s="3" t="str">
        <f t="shared" si="49"/>
        <v>Invalid</v>
      </c>
      <c r="AK275" t="str">
        <f t="shared" si="50"/>
        <v>invalid date</v>
      </c>
    </row>
    <row r="276" spans="1:37">
      <c r="A276" t="s">
        <v>1416</v>
      </c>
      <c r="B276" t="s">
        <v>1417</v>
      </c>
      <c r="C276" t="s">
        <v>1418</v>
      </c>
      <c r="D276" t="s">
        <v>1419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1420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  <c r="W276" t="s">
        <v>1416</v>
      </c>
      <c r="X276" t="str">
        <v>07-04-24</v>
      </c>
      <c r="Y276" t="str">
        <v>14-04-24</v>
      </c>
      <c r="Z276" t="s">
        <v>1419</v>
      </c>
      <c r="AA276" t="str">
        <v>Rohan Mehta</v>
      </c>
      <c r="AB276" t="str">
        <f t="shared" si="41"/>
        <v>Consumer</v>
      </c>
      <c r="AC276" t="str">
        <f t="shared" si="42"/>
        <v>South</v>
      </c>
      <c r="AD276" t="str">
        <f t="shared" si="43"/>
        <v>Kerala</v>
      </c>
      <c r="AE276" t="str">
        <f t="shared" si="44"/>
        <v>Kochi</v>
      </c>
      <c r="AF276" t="str">
        <f t="shared" si="45"/>
        <v>Technology</v>
      </c>
      <c r="AG276" t="str">
        <f t="shared" si="46"/>
        <v>Copiers</v>
      </c>
      <c r="AH276" t="str">
        <f t="shared" si="47"/>
        <v>Pro Copiers 406</v>
      </c>
      <c r="AI276" t="str">
        <f t="shared" si="48"/>
        <v>Standard Class</v>
      </c>
      <c r="AJ276" s="3" t="str">
        <f t="shared" si="49"/>
        <v>anomaly</v>
      </c>
      <c r="AK276">
        <f t="shared" si="50"/>
        <v>7</v>
      </c>
    </row>
    <row r="277" spans="1:37">
      <c r="A277" t="s">
        <v>1421</v>
      </c>
      <c r="B277" t="s">
        <v>677</v>
      </c>
      <c r="C277" t="s">
        <v>1422</v>
      </c>
      <c r="D277" t="s">
        <v>1423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1424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  <c r="W277" t="s">
        <v>1421</v>
      </c>
      <c r="X277" t="str">
        <v>15-02-24</v>
      </c>
      <c r="Y277" t="str">
        <v>invalid date</v>
      </c>
      <c r="Z277" t="s">
        <v>1423</v>
      </c>
      <c r="AA277" t="str">
        <v>Priya Menon</v>
      </c>
      <c r="AB277" t="str">
        <f t="shared" si="41"/>
        <v>Small Business</v>
      </c>
      <c r="AC277" t="str">
        <f t="shared" si="42"/>
        <v>East</v>
      </c>
      <c r="AD277" t="str">
        <f t="shared" si="43"/>
        <v>West Bengal</v>
      </c>
      <c r="AE277" t="str">
        <f t="shared" si="44"/>
        <v>Kolkata</v>
      </c>
      <c r="AF277" t="str">
        <f t="shared" si="45"/>
        <v>Furniture</v>
      </c>
      <c r="AG277" t="str">
        <f t="shared" si="46"/>
        <v>Furnishings</v>
      </c>
      <c r="AH277" t="str">
        <f t="shared" si="47"/>
        <v>Eco Furnishings 678</v>
      </c>
      <c r="AI277" t="str">
        <f t="shared" si="48"/>
        <v>Same Day</v>
      </c>
      <c r="AJ277" s="3" t="str">
        <f t="shared" si="49"/>
        <v>Invalid</v>
      </c>
      <c r="AK277" t="str">
        <f t="shared" si="50"/>
        <v>invalid date</v>
      </c>
    </row>
    <row r="278" spans="1:37">
      <c r="A278" t="s">
        <v>1425</v>
      </c>
      <c r="B278" t="s">
        <v>1057</v>
      </c>
      <c r="C278" t="s">
        <v>1426</v>
      </c>
      <c r="D278" t="s">
        <v>1427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1428</v>
      </c>
      <c r="M278" t="s">
        <v>33</v>
      </c>
      <c r="N278">
        <v>6</v>
      </c>
      <c r="O278">
        <v>3391.53</v>
      </c>
      <c r="P278" s="5" t="s">
        <v>4117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  <c r="W278" t="s">
        <v>1425</v>
      </c>
      <c r="X278" t="str">
        <v>22-01-24</v>
      </c>
      <c r="Y278" t="str">
        <v>23-01-24</v>
      </c>
      <c r="Z278" t="s">
        <v>1427</v>
      </c>
      <c r="AA278" t="str">
        <v>Aarav Sharma</v>
      </c>
      <c r="AB278" t="str">
        <f t="shared" si="41"/>
        <v>Small Business</v>
      </c>
      <c r="AC278" s="5" t="s">
        <v>4116</v>
      </c>
      <c r="AD278" t="str">
        <f t="shared" si="43"/>
        <v>Assam</v>
      </c>
      <c r="AE278" t="str">
        <f t="shared" si="44"/>
        <v>Guwahati</v>
      </c>
      <c r="AF278" t="str">
        <f t="shared" si="45"/>
        <v>Furniture</v>
      </c>
      <c r="AG278" t="str">
        <f t="shared" si="46"/>
        <v>Chairs</v>
      </c>
      <c r="AH278" t="str">
        <f t="shared" si="47"/>
        <v>Basic Chairs 141</v>
      </c>
      <c r="AI278" t="str">
        <f t="shared" si="48"/>
        <v>Second Class</v>
      </c>
      <c r="AJ278" s="3" t="str">
        <f t="shared" si="49"/>
        <v>anomaly</v>
      </c>
      <c r="AK278">
        <f t="shared" si="50"/>
        <v>1</v>
      </c>
    </row>
    <row r="279" spans="1:37">
      <c r="A279" t="s">
        <v>1429</v>
      </c>
      <c r="B279" t="s">
        <v>1430</v>
      </c>
      <c r="C279" t="s">
        <v>1430</v>
      </c>
      <c r="D279" t="s">
        <v>1204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1431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  <c r="W279" t="s">
        <v>1429</v>
      </c>
      <c r="X279" t="str">
        <v>04-06-25</v>
      </c>
      <c r="Y279" t="str">
        <v>04-06-25</v>
      </c>
      <c r="Z279" t="s">
        <v>1204</v>
      </c>
      <c r="AA279" t="str">
        <v>Isha Nair</v>
      </c>
      <c r="AB279" t="str">
        <f t="shared" si="41"/>
        <v>Corporate</v>
      </c>
      <c r="AC279" t="str">
        <f t="shared" si="42"/>
        <v>North</v>
      </c>
      <c r="AD279" t="str">
        <f t="shared" si="43"/>
        <v>Haryana</v>
      </c>
      <c r="AE279" t="str">
        <f t="shared" si="44"/>
        <v>Gurugram</v>
      </c>
      <c r="AF279" t="str">
        <f t="shared" si="45"/>
        <v>Technology</v>
      </c>
      <c r="AG279" t="str">
        <f t="shared" si="46"/>
        <v>Accessories</v>
      </c>
      <c r="AH279" t="str">
        <f t="shared" si="47"/>
        <v>Elite Accessories 291</v>
      </c>
      <c r="AI279" t="str">
        <f t="shared" si="48"/>
        <v>Second Class</v>
      </c>
      <c r="AJ279" s="3" t="str">
        <f t="shared" si="49"/>
        <v xml:space="preserve">  </v>
      </c>
      <c r="AK279">
        <f t="shared" si="50"/>
        <v>0</v>
      </c>
    </row>
    <row r="280" spans="1:37">
      <c r="A280" t="s">
        <v>1432</v>
      </c>
      <c r="B280" t="s">
        <v>786</v>
      </c>
      <c r="C280" t="s">
        <v>1433</v>
      </c>
      <c r="D280" t="s">
        <v>1434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1435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  <c r="W280" t="s">
        <v>1432</v>
      </c>
      <c r="X280" t="str">
        <v>07-03-25</v>
      </c>
      <c r="Y280" t="str">
        <v>14-03-25</v>
      </c>
      <c r="Z280" t="s">
        <v>1434</v>
      </c>
      <c r="AA280" t="str">
        <v>Priya Menon</v>
      </c>
      <c r="AB280" t="str">
        <f t="shared" si="41"/>
        <v>Small Business</v>
      </c>
      <c r="AC280" t="str">
        <f t="shared" si="42"/>
        <v>North</v>
      </c>
      <c r="AD280" t="str">
        <f t="shared" si="43"/>
        <v>Delhi</v>
      </c>
      <c r="AE280" t="str">
        <f t="shared" si="44"/>
        <v>New Delhi</v>
      </c>
      <c r="AF280" t="str">
        <f t="shared" si="45"/>
        <v>Technology</v>
      </c>
      <c r="AG280" t="str">
        <f t="shared" si="46"/>
        <v>Accessories</v>
      </c>
      <c r="AH280" t="str">
        <f t="shared" si="47"/>
        <v>Pro Accessories 207</v>
      </c>
      <c r="AI280" t="str">
        <f t="shared" si="48"/>
        <v>Same Day</v>
      </c>
      <c r="AJ280" s="3" t="str">
        <f t="shared" si="49"/>
        <v>anomaly</v>
      </c>
      <c r="AK280">
        <f t="shared" si="50"/>
        <v>7</v>
      </c>
    </row>
    <row r="281" spans="1:37">
      <c r="A281" t="s">
        <v>1436</v>
      </c>
      <c r="B281" t="s">
        <v>1437</v>
      </c>
      <c r="C281" t="s">
        <v>1438</v>
      </c>
      <c r="D281" t="s">
        <v>1439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1440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  <c r="W281" t="s">
        <v>1436</v>
      </c>
      <c r="X281" t="str">
        <v>04-09-24</v>
      </c>
      <c r="Y281" t="str">
        <v>10-04-24</v>
      </c>
      <c r="Z281" t="s">
        <v>1439</v>
      </c>
      <c r="AA281" t="str">
        <v>Rohan Mehta</v>
      </c>
      <c r="AB281" t="str">
        <f t="shared" si="41"/>
        <v>Small Business</v>
      </c>
      <c r="AC281" t="str">
        <f t="shared" si="42"/>
        <v>West</v>
      </c>
      <c r="AD281" t="str">
        <f t="shared" si="43"/>
        <v>Maharashtra</v>
      </c>
      <c r="AE281" t="str">
        <f t="shared" si="44"/>
        <v>Mumbai</v>
      </c>
      <c r="AF281" t="str">
        <f t="shared" si="45"/>
        <v>Office Supplies</v>
      </c>
      <c r="AG281" t="str">
        <f t="shared" si="46"/>
        <v>Storage</v>
      </c>
      <c r="AH281" t="str">
        <f t="shared" si="47"/>
        <v>Max Storage 564</v>
      </c>
      <c r="AI281" t="str">
        <f t="shared" si="48"/>
        <v>First Class</v>
      </c>
      <c r="AJ281" s="3" t="str">
        <f t="shared" si="49"/>
        <v>anomaly</v>
      </c>
      <c r="AK281">
        <f t="shared" si="50"/>
        <v>-147</v>
      </c>
    </row>
    <row r="282" spans="1:37">
      <c r="A282" t="s">
        <v>1441</v>
      </c>
      <c r="B282" t="s">
        <v>1442</v>
      </c>
      <c r="C282" t="s">
        <v>1443</v>
      </c>
      <c r="D282" t="s">
        <v>1444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1445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  <c r="W282" t="s">
        <v>1441</v>
      </c>
      <c r="X282" t="str">
        <v>invalid date</v>
      </c>
      <c r="Y282" t="str">
        <v>26-12-24</v>
      </c>
      <c r="Z282" t="s">
        <v>1444</v>
      </c>
      <c r="AA282" t="str">
        <v>Aditi Sen</v>
      </c>
      <c r="AB282" t="str">
        <f t="shared" si="41"/>
        <v>Consumer</v>
      </c>
      <c r="AC282" t="str">
        <f t="shared" si="42"/>
        <v>South</v>
      </c>
      <c r="AD282" t="str">
        <f t="shared" si="43"/>
        <v>Karnataka</v>
      </c>
      <c r="AE282" t="str">
        <f t="shared" si="44"/>
        <v>Bengaluru</v>
      </c>
      <c r="AF282" t="str">
        <f t="shared" si="45"/>
        <v>Technology</v>
      </c>
      <c r="AG282" t="str">
        <f t="shared" si="46"/>
        <v>Copiers</v>
      </c>
      <c r="AH282" t="str">
        <f t="shared" si="47"/>
        <v>Prime Copiers 961</v>
      </c>
      <c r="AI282" t="str">
        <f t="shared" si="48"/>
        <v>Standard Class</v>
      </c>
      <c r="AJ282" s="3" t="str">
        <f t="shared" si="49"/>
        <v>Invalid</v>
      </c>
      <c r="AK282" t="str">
        <f t="shared" si="50"/>
        <v>invalid date</v>
      </c>
    </row>
    <row r="283" spans="1:37">
      <c r="A283" t="s">
        <v>1446</v>
      </c>
      <c r="B283" t="s">
        <v>1447</v>
      </c>
      <c r="C283" t="s">
        <v>1448</v>
      </c>
      <c r="D283" t="s">
        <v>1449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1450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  <c r="W283" t="s">
        <v>1446</v>
      </c>
      <c r="X283" t="str">
        <v>25-07-25</v>
      </c>
      <c r="Y283" t="str">
        <v>invalid date</v>
      </c>
      <c r="Z283" t="s">
        <v>1449</v>
      </c>
      <c r="AA283" t="str">
        <v>Kabir Singh</v>
      </c>
      <c r="AB283" t="str">
        <f t="shared" si="41"/>
        <v>Consumer</v>
      </c>
      <c r="AC283" t="str">
        <f t="shared" si="42"/>
        <v>East</v>
      </c>
      <c r="AD283" t="str">
        <f t="shared" si="43"/>
        <v>Jharkhand</v>
      </c>
      <c r="AE283" t="str">
        <f t="shared" si="44"/>
        <v>Ranchi</v>
      </c>
      <c r="AF283" t="str">
        <f t="shared" si="45"/>
        <v>Office Supplies</v>
      </c>
      <c r="AG283" t="str">
        <f t="shared" si="46"/>
        <v>Binders</v>
      </c>
      <c r="AH283" t="str">
        <f t="shared" si="47"/>
        <v>Basic Binders 637</v>
      </c>
      <c r="AI283" t="str">
        <f t="shared" si="48"/>
        <v>Second Class</v>
      </c>
      <c r="AJ283" s="3" t="str">
        <f t="shared" si="49"/>
        <v>Invalid</v>
      </c>
      <c r="AK283" t="str">
        <f t="shared" si="50"/>
        <v>invalid date</v>
      </c>
    </row>
    <row r="284" spans="1:37">
      <c r="A284" t="s">
        <v>1451</v>
      </c>
      <c r="B284" t="s">
        <v>1452</v>
      </c>
      <c r="C284" t="s">
        <v>1453</v>
      </c>
      <c r="D284" t="s">
        <v>1454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1455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  <c r="W284" t="s">
        <v>1451</v>
      </c>
      <c r="X284" t="str">
        <v>01-10-24</v>
      </c>
      <c r="Y284" t="str">
        <v>10-02-24</v>
      </c>
      <c r="Z284" t="s">
        <v>1454</v>
      </c>
      <c r="AA284" t="str">
        <v>Karan Malhotra</v>
      </c>
      <c r="AB284" t="str">
        <f t="shared" si="41"/>
        <v>Home Office</v>
      </c>
      <c r="AC284" t="str">
        <f t="shared" si="42"/>
        <v>East</v>
      </c>
      <c r="AD284" t="str">
        <f t="shared" si="43"/>
        <v>Assam</v>
      </c>
      <c r="AE284" t="str">
        <f t="shared" si="44"/>
        <v>Guwahati</v>
      </c>
      <c r="AF284" t="str">
        <f t="shared" si="45"/>
        <v>Furniture</v>
      </c>
      <c r="AG284" t="str">
        <f t="shared" si="46"/>
        <v>Tables</v>
      </c>
      <c r="AH284" t="str">
        <f t="shared" si="47"/>
        <v>Classic Tables 811</v>
      </c>
      <c r="AI284" t="str">
        <f t="shared" si="48"/>
        <v>Second Class</v>
      </c>
      <c r="AJ284" s="3" t="str">
        <f t="shared" si="49"/>
        <v>anomaly</v>
      </c>
      <c r="AK284">
        <f t="shared" si="50"/>
        <v>-234</v>
      </c>
    </row>
    <row r="285" spans="1:37">
      <c r="A285" t="s">
        <v>1456</v>
      </c>
      <c r="B285" t="s">
        <v>1457</v>
      </c>
      <c r="C285" t="s">
        <v>1458</v>
      </c>
      <c r="D285" t="s">
        <v>1459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1460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  <c r="W285" t="s">
        <v>1456</v>
      </c>
      <c r="X285" t="str">
        <v>invalid date</v>
      </c>
      <c r="Y285" t="str">
        <v>20-03-25</v>
      </c>
      <c r="Z285" t="s">
        <v>1459</v>
      </c>
      <c r="AA285" t="str">
        <v>Vikram Iyer</v>
      </c>
      <c r="AB285" t="str">
        <f t="shared" si="41"/>
        <v>Consumer</v>
      </c>
      <c r="AC285" t="str">
        <f t="shared" si="42"/>
        <v>West</v>
      </c>
      <c r="AD285" t="str">
        <f t="shared" si="43"/>
        <v>Maharashtra</v>
      </c>
      <c r="AE285" t="str">
        <f t="shared" si="44"/>
        <v>Mumbai</v>
      </c>
      <c r="AF285" t="str">
        <f t="shared" si="45"/>
        <v>Furniture</v>
      </c>
      <c r="AG285" t="str">
        <f t="shared" si="46"/>
        <v>Furnishings</v>
      </c>
      <c r="AH285" t="str">
        <f t="shared" si="47"/>
        <v>Classic Furnishings 819</v>
      </c>
      <c r="AI285" t="str">
        <f t="shared" si="48"/>
        <v>First Class</v>
      </c>
      <c r="AJ285" s="3" t="str">
        <f t="shared" si="49"/>
        <v>Invalid</v>
      </c>
      <c r="AK285" t="str">
        <f t="shared" si="50"/>
        <v>invalid date</v>
      </c>
    </row>
    <row r="286" spans="1:37">
      <c r="A286" t="s">
        <v>1461</v>
      </c>
      <c r="B286" t="s">
        <v>1462</v>
      </c>
      <c r="C286" t="s">
        <v>1463</v>
      </c>
      <c r="D286" t="s">
        <v>1464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1465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  <c r="W286" t="s">
        <v>1461</v>
      </c>
      <c r="X286" t="str">
        <v>12-08-24</v>
      </c>
      <c r="Y286" t="str">
        <v>invalid date</v>
      </c>
      <c r="Z286" t="s">
        <v>1464</v>
      </c>
      <c r="AA286" t="str">
        <v>Karan Malhotra</v>
      </c>
      <c r="AB286" t="str">
        <f t="shared" si="41"/>
        <v>Consumer</v>
      </c>
      <c r="AC286" t="str">
        <f t="shared" si="42"/>
        <v>East</v>
      </c>
      <c r="AD286" t="str">
        <f t="shared" si="43"/>
        <v>Odisha</v>
      </c>
      <c r="AE286" t="str">
        <f t="shared" si="44"/>
        <v>Bhubaneswar</v>
      </c>
      <c r="AF286" t="str">
        <f t="shared" si="45"/>
        <v>Furniture</v>
      </c>
      <c r="AG286" t="str">
        <f t="shared" si="46"/>
        <v>Tables</v>
      </c>
      <c r="AH286" t="str">
        <f t="shared" si="47"/>
        <v>Prime Tables 542</v>
      </c>
      <c r="AI286" t="str">
        <f t="shared" si="48"/>
        <v>Same Day</v>
      </c>
      <c r="AJ286" s="3" t="str">
        <f t="shared" si="49"/>
        <v>Invalid</v>
      </c>
      <c r="AK286" t="str">
        <f t="shared" si="50"/>
        <v>invalid date</v>
      </c>
    </row>
    <row r="287" spans="1:37">
      <c r="A287" t="s">
        <v>1466</v>
      </c>
      <c r="B287" t="s">
        <v>1467</v>
      </c>
      <c r="C287" t="s">
        <v>1468</v>
      </c>
      <c r="D287" t="s">
        <v>1469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1470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  <c r="W287" t="s">
        <v>1466</v>
      </c>
      <c r="X287" t="str">
        <v>15-08-25</v>
      </c>
      <c r="Y287" t="str">
        <v>20-08-25</v>
      </c>
      <c r="Z287" t="s">
        <v>1469</v>
      </c>
      <c r="AA287" t="str">
        <v>Neha Gupta</v>
      </c>
      <c r="AB287" t="str">
        <f t="shared" si="41"/>
        <v>Home Office</v>
      </c>
      <c r="AC287" t="str">
        <f t="shared" si="42"/>
        <v>North</v>
      </c>
      <c r="AD287" t="str">
        <f t="shared" si="43"/>
        <v>Rajasthan</v>
      </c>
      <c r="AE287" t="str">
        <f t="shared" si="44"/>
        <v>Jaipur</v>
      </c>
      <c r="AF287" t="str">
        <f t="shared" si="45"/>
        <v>Office Supplies</v>
      </c>
      <c r="AG287" t="str">
        <f t="shared" si="46"/>
        <v>Storage</v>
      </c>
      <c r="AH287" t="str">
        <f t="shared" si="47"/>
        <v>Basic Storage 771</v>
      </c>
      <c r="AI287" t="str">
        <f t="shared" si="48"/>
        <v>Standard Class</v>
      </c>
      <c r="AJ287" s="3" t="str">
        <f t="shared" si="49"/>
        <v>anomaly</v>
      </c>
      <c r="AK287">
        <f t="shared" si="50"/>
        <v>5</v>
      </c>
    </row>
    <row r="288" spans="1:37">
      <c r="A288" t="s">
        <v>1471</v>
      </c>
      <c r="B288" t="s">
        <v>1472</v>
      </c>
      <c r="C288" t="s">
        <v>1473</v>
      </c>
      <c r="D288" t="s">
        <v>1474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1475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  <c r="W288" t="s">
        <v>1471</v>
      </c>
      <c r="X288" t="str">
        <v>28-02-24</v>
      </c>
      <c r="Y288" t="str">
        <v>03-02-24</v>
      </c>
      <c r="Z288" t="s">
        <v>1474</v>
      </c>
      <c r="AA288" t="str">
        <v>Priya Menon</v>
      </c>
      <c r="AB288" t="str">
        <f t="shared" si="41"/>
        <v>Small Business</v>
      </c>
      <c r="AC288" t="str">
        <f t="shared" si="42"/>
        <v>North</v>
      </c>
      <c r="AD288" t="str">
        <f t="shared" si="43"/>
        <v>Delhi</v>
      </c>
      <c r="AE288" t="str">
        <f t="shared" si="44"/>
        <v>New Delhi</v>
      </c>
      <c r="AF288" t="str">
        <f t="shared" si="45"/>
        <v>Furniture</v>
      </c>
      <c r="AG288" t="str">
        <f t="shared" si="46"/>
        <v>Furnishings</v>
      </c>
      <c r="AH288" t="str">
        <f t="shared" si="47"/>
        <v>Pro Furnishings 848</v>
      </c>
      <c r="AI288" t="str">
        <f t="shared" si="48"/>
        <v>First Class</v>
      </c>
      <c r="AJ288" s="3" t="str">
        <f t="shared" si="49"/>
        <v xml:space="preserve">  </v>
      </c>
      <c r="AK288">
        <f t="shared" si="50"/>
        <v>-25</v>
      </c>
    </row>
    <row r="289" spans="1:37">
      <c r="A289" t="s">
        <v>1476</v>
      </c>
      <c r="B289" t="s">
        <v>1477</v>
      </c>
      <c r="C289" t="s">
        <v>1478</v>
      </c>
      <c r="D289" t="s">
        <v>1479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1480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  <c r="W289" t="s">
        <v>1476</v>
      </c>
      <c r="X289" t="str">
        <v>09-05-24</v>
      </c>
      <c r="Y289" t="str">
        <v>07-09-24</v>
      </c>
      <c r="Z289" t="s">
        <v>1479</v>
      </c>
      <c r="AA289" t="str">
        <v>Neha Gupta</v>
      </c>
      <c r="AB289" t="str">
        <f t="shared" si="41"/>
        <v>Small Business</v>
      </c>
      <c r="AC289" t="str">
        <f t="shared" si="42"/>
        <v>South</v>
      </c>
      <c r="AD289" t="str">
        <f t="shared" si="43"/>
        <v>Tamil Nadu</v>
      </c>
      <c r="AE289" t="str">
        <f t="shared" si="44"/>
        <v>Chennai</v>
      </c>
      <c r="AF289" t="str">
        <f t="shared" si="45"/>
        <v>Technology</v>
      </c>
      <c r="AG289" t="str">
        <f t="shared" si="46"/>
        <v>Copiers</v>
      </c>
      <c r="AH289" t="str">
        <f t="shared" si="47"/>
        <v>Prime Copiers 924</v>
      </c>
      <c r="AI289" t="str">
        <f t="shared" si="48"/>
        <v>Standard Class</v>
      </c>
      <c r="AJ289" s="3" t="str">
        <f t="shared" si="49"/>
        <v xml:space="preserve">  </v>
      </c>
      <c r="AK289">
        <f t="shared" si="50"/>
        <v>121</v>
      </c>
    </row>
    <row r="290" spans="1:37">
      <c r="A290" t="s">
        <v>1481</v>
      </c>
      <c r="B290" t="s">
        <v>1482</v>
      </c>
      <c r="C290" t="s">
        <v>1482</v>
      </c>
      <c r="D290" t="s">
        <v>1483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1484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  <c r="W290" t="s">
        <v>1481</v>
      </c>
      <c r="X290" t="str">
        <v>24-06-24</v>
      </c>
      <c r="Y290" t="str">
        <v>24-06-24</v>
      </c>
      <c r="Z290" t="s">
        <v>1483</v>
      </c>
      <c r="AA290" t="str">
        <v>Rohan Mehta</v>
      </c>
      <c r="AB290" t="str">
        <f t="shared" si="41"/>
        <v>Small Business</v>
      </c>
      <c r="AC290" t="str">
        <f t="shared" si="42"/>
        <v>East</v>
      </c>
      <c r="AD290" t="str">
        <f t="shared" si="43"/>
        <v>Bihar</v>
      </c>
      <c r="AE290" t="str">
        <f t="shared" si="44"/>
        <v>Patna</v>
      </c>
      <c r="AF290" t="str">
        <f t="shared" si="45"/>
        <v>Office Supplies</v>
      </c>
      <c r="AG290" t="str">
        <f t="shared" si="46"/>
        <v>Binders</v>
      </c>
      <c r="AH290" t="str">
        <f t="shared" si="47"/>
        <v>Classic Binders 721</v>
      </c>
      <c r="AI290" t="str">
        <f t="shared" si="48"/>
        <v>Same Day</v>
      </c>
      <c r="AJ290" s="3" t="str">
        <f t="shared" si="49"/>
        <v xml:space="preserve">  </v>
      </c>
      <c r="AK290">
        <f t="shared" si="50"/>
        <v>0</v>
      </c>
    </row>
    <row r="291" spans="1:37">
      <c r="A291" t="s">
        <v>1485</v>
      </c>
      <c r="B291" t="s">
        <v>254</v>
      </c>
      <c r="C291" t="s">
        <v>649</v>
      </c>
      <c r="D291" t="s">
        <v>1486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1487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  <c r="W291" t="s">
        <v>1485</v>
      </c>
      <c r="X291" t="str">
        <v>19-06-25</v>
      </c>
      <c r="Y291" t="str">
        <v>invalid date</v>
      </c>
      <c r="Z291" t="s">
        <v>1486</v>
      </c>
      <c r="AA291" t="str">
        <v>Karan Malhotra</v>
      </c>
      <c r="AB291" t="str">
        <f t="shared" si="41"/>
        <v>Home Office</v>
      </c>
      <c r="AC291" t="str">
        <f t="shared" si="42"/>
        <v>South</v>
      </c>
      <c r="AD291" t="str">
        <f t="shared" si="43"/>
        <v>Tamil Nadu</v>
      </c>
      <c r="AE291" t="str">
        <f t="shared" si="44"/>
        <v>Chennai</v>
      </c>
      <c r="AF291" t="str">
        <f t="shared" si="45"/>
        <v>Furniture</v>
      </c>
      <c r="AG291" t="str">
        <f t="shared" si="46"/>
        <v>Bookcases</v>
      </c>
      <c r="AH291" t="str">
        <f t="shared" si="47"/>
        <v>Basic Bookcases 823</v>
      </c>
      <c r="AI291" t="str">
        <f t="shared" si="48"/>
        <v>First Class</v>
      </c>
      <c r="AJ291" s="3" t="str">
        <f t="shared" si="49"/>
        <v>Invalid</v>
      </c>
      <c r="AK291" t="str">
        <f t="shared" si="50"/>
        <v>invalid date</v>
      </c>
    </row>
    <row r="292" spans="1:37">
      <c r="A292" t="s">
        <v>1488</v>
      </c>
      <c r="B292" t="s">
        <v>1489</v>
      </c>
      <c r="C292" t="s">
        <v>1490</v>
      </c>
      <c r="D292" t="s">
        <v>1491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1492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  <c r="W292" t="s">
        <v>1488</v>
      </c>
      <c r="X292" t="str">
        <v>22-08-25</v>
      </c>
      <c r="Y292" t="str">
        <v>26-08-25</v>
      </c>
      <c r="Z292" t="s">
        <v>1491</v>
      </c>
      <c r="AA292" t="str">
        <v>Diya Patel</v>
      </c>
      <c r="AB292" t="str">
        <f t="shared" si="41"/>
        <v>Home Office</v>
      </c>
      <c r="AC292" t="str">
        <f t="shared" si="42"/>
        <v>East</v>
      </c>
      <c r="AD292" t="str">
        <f t="shared" si="43"/>
        <v>Jharkhand</v>
      </c>
      <c r="AE292" t="str">
        <f t="shared" si="44"/>
        <v>Ranchi</v>
      </c>
      <c r="AF292" t="str">
        <f t="shared" si="45"/>
        <v>Furniture</v>
      </c>
      <c r="AG292" t="str">
        <f t="shared" si="46"/>
        <v>Tables</v>
      </c>
      <c r="AH292" t="str">
        <f t="shared" si="47"/>
        <v>Classic Tables 178</v>
      </c>
      <c r="AI292" t="str">
        <f t="shared" si="48"/>
        <v>Standard Class</v>
      </c>
      <c r="AJ292" s="3" t="str">
        <f t="shared" si="49"/>
        <v>anomaly</v>
      </c>
      <c r="AK292">
        <f t="shared" si="50"/>
        <v>4</v>
      </c>
    </row>
    <row r="293" spans="1:37">
      <c r="A293" t="s">
        <v>1493</v>
      </c>
      <c r="B293" t="s">
        <v>1494</v>
      </c>
      <c r="C293" t="s">
        <v>1495</v>
      </c>
      <c r="D293" t="s">
        <v>1496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1497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  <c r="W293" t="s">
        <v>1493</v>
      </c>
      <c r="X293" t="str">
        <v>04-05-24</v>
      </c>
      <c r="Y293" t="str">
        <v>10-04-24</v>
      </c>
      <c r="Z293" t="s">
        <v>1496</v>
      </c>
      <c r="AA293" t="str">
        <v>Priya Menon</v>
      </c>
      <c r="AB293" t="str">
        <f t="shared" si="41"/>
        <v>Home Office</v>
      </c>
      <c r="AC293" t="str">
        <f t="shared" si="42"/>
        <v>North</v>
      </c>
      <c r="AD293" t="str">
        <f t="shared" si="43"/>
        <v>Rajasthan</v>
      </c>
      <c r="AE293" t="str">
        <f t="shared" si="44"/>
        <v>Jaipur</v>
      </c>
      <c r="AF293" t="str">
        <f t="shared" si="45"/>
        <v>Office Supplies</v>
      </c>
      <c r="AG293" t="str">
        <f t="shared" si="46"/>
        <v>Binders</v>
      </c>
      <c r="AH293" t="str">
        <f t="shared" si="47"/>
        <v>Eco Binders 153</v>
      </c>
      <c r="AI293" t="str">
        <f t="shared" si="48"/>
        <v>Standard Class</v>
      </c>
      <c r="AJ293" s="3" t="str">
        <f t="shared" si="49"/>
        <v>anomaly</v>
      </c>
      <c r="AK293">
        <f t="shared" si="50"/>
        <v>-24</v>
      </c>
    </row>
    <row r="294" spans="1:37">
      <c r="A294" t="s">
        <v>1498</v>
      </c>
      <c r="B294" t="s">
        <v>1499</v>
      </c>
      <c r="C294" t="s">
        <v>1500</v>
      </c>
      <c r="D294" t="s">
        <v>1501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1502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  <c r="W294" t="s">
        <v>1498</v>
      </c>
      <c r="X294" t="str">
        <v>28-02-25</v>
      </c>
      <c r="Y294" t="str">
        <v>03-03-25</v>
      </c>
      <c r="Z294" t="s">
        <v>1501</v>
      </c>
      <c r="AA294" t="str">
        <v>Kabir Singh</v>
      </c>
      <c r="AB294" t="str">
        <f t="shared" si="41"/>
        <v>Home Office</v>
      </c>
      <c r="AC294" t="str">
        <f t="shared" si="42"/>
        <v>North</v>
      </c>
      <c r="AD294" t="str">
        <f t="shared" si="43"/>
        <v>Haryana</v>
      </c>
      <c r="AE294" t="str">
        <f t="shared" si="44"/>
        <v>Gurugram</v>
      </c>
      <c r="AF294" t="str">
        <f t="shared" si="45"/>
        <v>Office Supplies</v>
      </c>
      <c r="AG294" t="str">
        <f t="shared" si="46"/>
        <v>Art</v>
      </c>
      <c r="AH294" t="str">
        <f t="shared" si="47"/>
        <v>Classic Art 183</v>
      </c>
      <c r="AI294" t="str">
        <f t="shared" si="48"/>
        <v>Same Day</v>
      </c>
      <c r="AJ294" s="3" t="str">
        <f t="shared" si="49"/>
        <v xml:space="preserve">  </v>
      </c>
      <c r="AK294">
        <f t="shared" si="50"/>
        <v>3</v>
      </c>
    </row>
    <row r="295" spans="1:37">
      <c r="A295" t="s">
        <v>1503</v>
      </c>
      <c r="B295" t="s">
        <v>1504</v>
      </c>
      <c r="C295" t="s">
        <v>1505</v>
      </c>
      <c r="D295" t="s">
        <v>1506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1507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  <c r="W295" t="s">
        <v>1503</v>
      </c>
      <c r="X295" t="str">
        <v>03-07-24</v>
      </c>
      <c r="Y295" t="str">
        <v>11-03-24</v>
      </c>
      <c r="Z295" t="s">
        <v>1506</v>
      </c>
      <c r="AA295" t="str">
        <v>Arjun Bose</v>
      </c>
      <c r="AB295" t="str">
        <f t="shared" si="41"/>
        <v>Home Office</v>
      </c>
      <c r="AC295" t="str">
        <f t="shared" si="42"/>
        <v>South</v>
      </c>
      <c r="AD295" t="str">
        <f t="shared" si="43"/>
        <v>Telangana</v>
      </c>
      <c r="AE295" t="str">
        <f t="shared" si="44"/>
        <v>Hyderabad</v>
      </c>
      <c r="AF295" t="str">
        <f t="shared" si="45"/>
        <v>Technology</v>
      </c>
      <c r="AG295" t="str">
        <f t="shared" si="46"/>
        <v>Phones</v>
      </c>
      <c r="AH295" t="str">
        <f t="shared" si="47"/>
        <v>Pro Phones 455</v>
      </c>
      <c r="AI295" t="str">
        <f t="shared" si="48"/>
        <v>First Class</v>
      </c>
      <c r="AJ295" s="3" t="str">
        <f t="shared" si="49"/>
        <v>anomaly</v>
      </c>
      <c r="AK295">
        <f t="shared" si="50"/>
        <v>-114</v>
      </c>
    </row>
    <row r="296" spans="1:37">
      <c r="A296" t="s">
        <v>1508</v>
      </c>
      <c r="B296" t="s">
        <v>1509</v>
      </c>
      <c r="C296" t="s">
        <v>1510</v>
      </c>
      <c r="D296" t="s">
        <v>1511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1512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  <c r="W296" t="s">
        <v>1508</v>
      </c>
      <c r="X296" t="str">
        <v>16-07-25</v>
      </c>
      <c r="Y296" t="str">
        <v>invalid date</v>
      </c>
      <c r="Z296" t="s">
        <v>1511</v>
      </c>
      <c r="AA296" t="str">
        <v>Priya Menon</v>
      </c>
      <c r="AB296" t="str">
        <f t="shared" si="41"/>
        <v>Consumer</v>
      </c>
      <c r="AC296" t="str">
        <f t="shared" si="42"/>
        <v>East</v>
      </c>
      <c r="AD296" t="str">
        <f t="shared" si="43"/>
        <v>Odisha</v>
      </c>
      <c r="AE296" t="str">
        <f t="shared" si="44"/>
        <v>Bhubaneswar</v>
      </c>
      <c r="AF296" t="str">
        <f t="shared" si="45"/>
        <v>Technology</v>
      </c>
      <c r="AG296" t="str">
        <f t="shared" si="46"/>
        <v>Phones</v>
      </c>
      <c r="AH296" t="str">
        <f t="shared" si="47"/>
        <v>Basic Phones 326</v>
      </c>
      <c r="AI296" t="str">
        <f t="shared" si="48"/>
        <v>Second Class</v>
      </c>
      <c r="AJ296" s="3" t="str">
        <f t="shared" si="49"/>
        <v>Invalid</v>
      </c>
      <c r="AK296" t="str">
        <f t="shared" si="50"/>
        <v>invalid date</v>
      </c>
    </row>
    <row r="297" spans="1:37">
      <c r="A297" t="s">
        <v>1513</v>
      </c>
      <c r="B297" t="s">
        <v>1514</v>
      </c>
      <c r="C297" t="s">
        <v>1515</v>
      </c>
      <c r="D297" t="s">
        <v>1516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1517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  <c r="W297" t="s">
        <v>1513</v>
      </c>
      <c r="X297" t="str">
        <v>25-06-25</v>
      </c>
      <c r="Y297" t="str">
        <v>28-06-25</v>
      </c>
      <c r="Z297" t="s">
        <v>1516</v>
      </c>
      <c r="AA297" t="str">
        <v>Aditi Sen</v>
      </c>
      <c r="AB297" t="str">
        <f t="shared" si="41"/>
        <v>Small Business</v>
      </c>
      <c r="AC297" t="str">
        <f t="shared" si="42"/>
        <v>East</v>
      </c>
      <c r="AD297" t="str">
        <f t="shared" si="43"/>
        <v>Assam</v>
      </c>
      <c r="AE297" t="str">
        <f t="shared" si="44"/>
        <v>Guwahati</v>
      </c>
      <c r="AF297" t="str">
        <f t="shared" si="45"/>
        <v>Office Supplies</v>
      </c>
      <c r="AG297" t="str">
        <f t="shared" si="46"/>
        <v>Binders</v>
      </c>
      <c r="AH297" t="str">
        <f t="shared" si="47"/>
        <v>Max Binders 587</v>
      </c>
      <c r="AI297" t="str">
        <f t="shared" si="48"/>
        <v>Standard Class</v>
      </c>
      <c r="AJ297" s="3" t="str">
        <f t="shared" si="49"/>
        <v>anomaly</v>
      </c>
      <c r="AK297">
        <f t="shared" si="50"/>
        <v>3</v>
      </c>
    </row>
    <row r="298" spans="1:37">
      <c r="A298" t="s">
        <v>1518</v>
      </c>
      <c r="B298" t="s">
        <v>1519</v>
      </c>
      <c r="C298" t="s">
        <v>1520</v>
      </c>
      <c r="D298" t="s">
        <v>1521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1522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  <c r="W298" t="s">
        <v>1518</v>
      </c>
      <c r="X298" t="str">
        <v>24-05-25</v>
      </c>
      <c r="Y298" t="str">
        <v>invalid date</v>
      </c>
      <c r="Z298" t="s">
        <v>1521</v>
      </c>
      <c r="AA298" t="str">
        <v>Aditi Sen</v>
      </c>
      <c r="AB298" t="str">
        <f t="shared" si="41"/>
        <v>Home Office</v>
      </c>
      <c r="AC298" t="str">
        <f t="shared" si="42"/>
        <v>North</v>
      </c>
      <c r="AD298" t="str">
        <f t="shared" si="43"/>
        <v>Haryana</v>
      </c>
      <c r="AE298" t="str">
        <f t="shared" si="44"/>
        <v>Gurugram</v>
      </c>
      <c r="AF298" t="str">
        <f t="shared" si="45"/>
        <v>Furniture</v>
      </c>
      <c r="AG298" t="str">
        <f t="shared" si="46"/>
        <v>Furnishings</v>
      </c>
      <c r="AH298" t="str">
        <f t="shared" si="47"/>
        <v>Basic Furnishings 617</v>
      </c>
      <c r="AI298" t="str">
        <f t="shared" si="48"/>
        <v>Same Day</v>
      </c>
      <c r="AJ298" s="3" t="str">
        <f t="shared" si="49"/>
        <v>Invalid</v>
      </c>
      <c r="AK298" t="str">
        <f t="shared" si="50"/>
        <v>invalid date</v>
      </c>
    </row>
    <row r="299" spans="1:37">
      <c r="A299" t="s">
        <v>1523</v>
      </c>
      <c r="B299" t="s">
        <v>1524</v>
      </c>
      <c r="C299" t="s">
        <v>1525</v>
      </c>
      <c r="D299" t="s">
        <v>1526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1527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  <c r="W299" t="s">
        <v>1523</v>
      </c>
      <c r="X299" t="str">
        <v>29-10-24</v>
      </c>
      <c r="Y299" t="str">
        <v>06-11-24</v>
      </c>
      <c r="Z299" t="s">
        <v>1526</v>
      </c>
      <c r="AA299" t="str">
        <v>Sneha Kapoor</v>
      </c>
      <c r="AB299" t="str">
        <f t="shared" si="41"/>
        <v>Corporate</v>
      </c>
      <c r="AC299" t="str">
        <f t="shared" si="42"/>
        <v>South</v>
      </c>
      <c r="AD299" t="str">
        <f t="shared" si="43"/>
        <v>Tamil Nadu</v>
      </c>
      <c r="AE299" t="str">
        <f t="shared" si="44"/>
        <v>Chennai</v>
      </c>
      <c r="AF299" t="str">
        <f t="shared" si="45"/>
        <v>Technology</v>
      </c>
      <c r="AG299" t="str">
        <f t="shared" si="46"/>
        <v>Copiers</v>
      </c>
      <c r="AH299" t="str">
        <f t="shared" si="47"/>
        <v>Prime Copiers 669</v>
      </c>
      <c r="AI299" t="str">
        <f t="shared" si="48"/>
        <v>Same Day</v>
      </c>
      <c r="AJ299" s="3" t="str">
        <f t="shared" si="49"/>
        <v xml:space="preserve">  </v>
      </c>
      <c r="AK299">
        <f t="shared" si="50"/>
        <v>8</v>
      </c>
    </row>
    <row r="300" spans="1:37">
      <c r="A300" t="s">
        <v>1528</v>
      </c>
      <c r="B300" t="s">
        <v>1529</v>
      </c>
      <c r="C300" t="s">
        <v>1530</v>
      </c>
      <c r="D300" t="s">
        <v>1531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1532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  <c r="W300" t="s">
        <v>1528</v>
      </c>
      <c r="X300" t="str">
        <v>23-01-25</v>
      </c>
      <c r="Y300" t="str">
        <v>26-01-25</v>
      </c>
      <c r="Z300" t="s">
        <v>1531</v>
      </c>
      <c r="AA300" t="str">
        <v>Isha Nair</v>
      </c>
      <c r="AB300" t="str">
        <f t="shared" si="41"/>
        <v>Consumer</v>
      </c>
      <c r="AC300" t="str">
        <f t="shared" si="42"/>
        <v>South</v>
      </c>
      <c r="AD300" t="str">
        <f t="shared" si="43"/>
        <v>Kerala</v>
      </c>
      <c r="AE300" t="str">
        <f t="shared" si="44"/>
        <v>Kochi</v>
      </c>
      <c r="AF300" t="str">
        <f t="shared" si="45"/>
        <v>Technology</v>
      </c>
      <c r="AG300" t="str">
        <f t="shared" si="46"/>
        <v>Copiers</v>
      </c>
      <c r="AH300" t="str">
        <f t="shared" si="47"/>
        <v>Eco Copiers 894</v>
      </c>
      <c r="AI300" t="str">
        <f t="shared" si="48"/>
        <v>First Class</v>
      </c>
      <c r="AJ300" s="3" t="str">
        <f t="shared" si="49"/>
        <v>anomaly</v>
      </c>
      <c r="AK300">
        <f t="shared" si="50"/>
        <v>3</v>
      </c>
    </row>
    <row r="301" spans="1:37">
      <c r="A301" t="s">
        <v>1533</v>
      </c>
      <c r="B301" t="s">
        <v>1525</v>
      </c>
      <c r="C301" t="s">
        <v>1534</v>
      </c>
      <c r="D301" t="s">
        <v>1535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1536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  <c r="W301" t="s">
        <v>1533</v>
      </c>
      <c r="X301" t="str">
        <v>06-11-24</v>
      </c>
      <c r="Y301" t="str">
        <v>12-11-24</v>
      </c>
      <c r="Z301" t="s">
        <v>1535</v>
      </c>
      <c r="AA301" t="str">
        <v>Rahul Verma</v>
      </c>
      <c r="AB301" t="str">
        <f t="shared" si="41"/>
        <v>Small Business</v>
      </c>
      <c r="AC301" t="str">
        <f t="shared" si="42"/>
        <v>West</v>
      </c>
      <c r="AD301" t="str">
        <f t="shared" si="43"/>
        <v>Gujarat</v>
      </c>
      <c r="AE301" t="str">
        <f t="shared" si="44"/>
        <v>Ahmedabad</v>
      </c>
      <c r="AF301" t="str">
        <f t="shared" si="45"/>
        <v>Technology</v>
      </c>
      <c r="AG301" t="str">
        <f t="shared" si="46"/>
        <v>Accessories</v>
      </c>
      <c r="AH301" t="str">
        <f t="shared" si="47"/>
        <v>Max Accessories 145</v>
      </c>
      <c r="AI301" t="str">
        <f t="shared" si="48"/>
        <v>Standard Class</v>
      </c>
      <c r="AJ301" s="3" t="str">
        <f t="shared" si="49"/>
        <v>anomaly</v>
      </c>
      <c r="AK301">
        <f t="shared" si="50"/>
        <v>6</v>
      </c>
    </row>
    <row r="302" spans="1:37">
      <c r="A302" t="s">
        <v>1537</v>
      </c>
      <c r="B302" t="s">
        <v>1538</v>
      </c>
      <c r="C302" t="s">
        <v>1539</v>
      </c>
      <c r="D302" t="s">
        <v>1540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1541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  <c r="W302" t="s">
        <v>1537</v>
      </c>
      <c r="X302" t="str">
        <v>15-04-24</v>
      </c>
      <c r="Y302" t="str">
        <v>invalid date</v>
      </c>
      <c r="Z302" t="s">
        <v>1540</v>
      </c>
      <c r="AA302" t="str">
        <v>Diya Patel</v>
      </c>
      <c r="AB302" t="str">
        <f t="shared" si="41"/>
        <v>Small Business</v>
      </c>
      <c r="AC302" t="str">
        <f t="shared" si="42"/>
        <v>North</v>
      </c>
      <c r="AD302" t="str">
        <f t="shared" si="43"/>
        <v>Punjab</v>
      </c>
      <c r="AE302" t="str">
        <f t="shared" si="44"/>
        <v>Ludhiana</v>
      </c>
      <c r="AF302" t="str">
        <f t="shared" si="45"/>
        <v>Technology</v>
      </c>
      <c r="AG302" t="str">
        <f t="shared" si="46"/>
        <v>Accessories</v>
      </c>
      <c r="AH302" t="str">
        <f t="shared" si="47"/>
        <v>Classic Accessories 126</v>
      </c>
      <c r="AI302" t="str">
        <f t="shared" si="48"/>
        <v>Second Class</v>
      </c>
      <c r="AJ302" s="3" t="str">
        <f t="shared" si="49"/>
        <v>Invalid</v>
      </c>
      <c r="AK302" t="str">
        <f t="shared" si="50"/>
        <v>invalid date</v>
      </c>
    </row>
    <row r="303" spans="1:37">
      <c r="A303" t="s">
        <v>1542</v>
      </c>
      <c r="B303" t="s">
        <v>1017</v>
      </c>
      <c r="C303" t="s">
        <v>1543</v>
      </c>
      <c r="D303" t="s">
        <v>1544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1545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  <c r="W303" t="s">
        <v>1542</v>
      </c>
      <c r="X303" t="str">
        <v>28-05-25</v>
      </c>
      <c r="Y303" t="str">
        <v>01-06-25</v>
      </c>
      <c r="Z303" t="s">
        <v>1544</v>
      </c>
      <c r="AA303" t="str">
        <v>Isha Nair</v>
      </c>
      <c r="AB303" t="str">
        <f t="shared" si="41"/>
        <v>Home Office</v>
      </c>
      <c r="AC303" t="str">
        <f t="shared" si="42"/>
        <v>East</v>
      </c>
      <c r="AD303" t="str">
        <f t="shared" si="43"/>
        <v>Bihar</v>
      </c>
      <c r="AE303" t="str">
        <f t="shared" si="44"/>
        <v>Patna</v>
      </c>
      <c r="AF303" t="str">
        <f t="shared" si="45"/>
        <v>Technology</v>
      </c>
      <c r="AG303" t="str">
        <f t="shared" si="46"/>
        <v>Phones</v>
      </c>
      <c r="AH303" t="str">
        <f t="shared" si="47"/>
        <v>Elite Phones 202</v>
      </c>
      <c r="AI303" t="str">
        <f t="shared" si="48"/>
        <v>Same Day</v>
      </c>
      <c r="AJ303" s="3" t="str">
        <f t="shared" si="49"/>
        <v xml:space="preserve">  </v>
      </c>
      <c r="AK303">
        <f t="shared" si="50"/>
        <v>4</v>
      </c>
    </row>
    <row r="304" spans="1:37">
      <c r="A304" t="s">
        <v>1546</v>
      </c>
      <c r="B304" t="s">
        <v>1387</v>
      </c>
      <c r="C304" t="s">
        <v>1547</v>
      </c>
      <c r="D304" t="s">
        <v>1548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917</v>
      </c>
      <c r="K304" t="s">
        <v>156</v>
      </c>
      <c r="L304" t="s">
        <v>1549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  <c r="W304" t="s">
        <v>1546</v>
      </c>
      <c r="X304" t="str">
        <v>04-06-25</v>
      </c>
      <c r="Y304" t="str">
        <v>12-06-25</v>
      </c>
      <c r="Z304" t="s">
        <v>1548</v>
      </c>
      <c r="AA304" t="str">
        <v>Neha Gupta</v>
      </c>
      <c r="AB304" t="str">
        <f t="shared" si="41"/>
        <v>Consumer</v>
      </c>
      <c r="AC304" t="str">
        <f t="shared" si="42"/>
        <v>West</v>
      </c>
      <c r="AD304" t="str">
        <f t="shared" si="43"/>
        <v>Goa</v>
      </c>
      <c r="AE304" t="str">
        <f t="shared" si="44"/>
        <v>Panaji</v>
      </c>
      <c r="AF304" t="str">
        <f t="shared" si="45"/>
        <v>Office Supplies</v>
      </c>
      <c r="AG304" t="str">
        <f t="shared" si="46"/>
        <v>Storage</v>
      </c>
      <c r="AH304" t="str">
        <f t="shared" si="47"/>
        <v>Elite Storage 535</v>
      </c>
      <c r="AI304" t="str">
        <f t="shared" si="48"/>
        <v>Same Day</v>
      </c>
      <c r="AJ304" s="3" t="str">
        <f t="shared" si="49"/>
        <v>anomaly</v>
      </c>
      <c r="AK304">
        <f t="shared" si="50"/>
        <v>8</v>
      </c>
    </row>
    <row r="305" spans="1:37">
      <c r="A305" t="s">
        <v>1550</v>
      </c>
      <c r="B305" t="s">
        <v>1551</v>
      </c>
      <c r="C305" t="s">
        <v>1042</v>
      </c>
      <c r="D305" t="s">
        <v>1552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1553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  <c r="W305" t="s">
        <v>1550</v>
      </c>
      <c r="X305" t="str">
        <v>23-06-24</v>
      </c>
      <c r="Y305" t="str">
        <v>28-06-24</v>
      </c>
      <c r="Z305" t="s">
        <v>1552</v>
      </c>
      <c r="AA305" t="str">
        <v>Diya Patel</v>
      </c>
      <c r="AB305" t="str">
        <f t="shared" si="41"/>
        <v>Home Office</v>
      </c>
      <c r="AC305" t="str">
        <f t="shared" si="42"/>
        <v>West</v>
      </c>
      <c r="AD305" t="str">
        <f t="shared" si="43"/>
        <v>Gujarat</v>
      </c>
      <c r="AE305" t="str">
        <f t="shared" si="44"/>
        <v>Ahmedabad</v>
      </c>
      <c r="AF305" t="str">
        <f t="shared" si="45"/>
        <v>Furniture</v>
      </c>
      <c r="AG305" t="str">
        <f t="shared" si="46"/>
        <v>Chairs</v>
      </c>
      <c r="AH305" t="str">
        <f t="shared" si="47"/>
        <v>Elite Chairs 107</v>
      </c>
      <c r="AI305" t="str">
        <f t="shared" si="48"/>
        <v>Standard Class</v>
      </c>
      <c r="AJ305" s="3" t="str">
        <f t="shared" si="49"/>
        <v>anomaly</v>
      </c>
      <c r="AK305">
        <f t="shared" si="50"/>
        <v>5</v>
      </c>
    </row>
    <row r="306" spans="1:37">
      <c r="A306" t="s">
        <v>1554</v>
      </c>
      <c r="B306" t="s">
        <v>1555</v>
      </c>
      <c r="C306" t="s">
        <v>1556</v>
      </c>
      <c r="D306" t="s">
        <v>1557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1558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  <c r="W306" t="s">
        <v>1554</v>
      </c>
      <c r="X306" t="str">
        <v>03-06-24</v>
      </c>
      <c r="Y306" t="str">
        <v>13-03-24</v>
      </c>
      <c r="Z306" t="s">
        <v>1557</v>
      </c>
      <c r="AA306" t="str">
        <v>Karan Malhotra</v>
      </c>
      <c r="AB306" t="str">
        <f t="shared" si="41"/>
        <v>Consumer</v>
      </c>
      <c r="AC306" t="str">
        <f t="shared" si="42"/>
        <v>North</v>
      </c>
      <c r="AD306" t="str">
        <f t="shared" si="43"/>
        <v>Punjab</v>
      </c>
      <c r="AE306" t="str">
        <f t="shared" si="44"/>
        <v>Ludhiana</v>
      </c>
      <c r="AF306" t="str">
        <f t="shared" si="45"/>
        <v>Furniture</v>
      </c>
      <c r="AG306" t="str">
        <f t="shared" si="46"/>
        <v>Furnishings</v>
      </c>
      <c r="AH306" t="str">
        <f t="shared" si="47"/>
        <v>Pro Furnishings 991</v>
      </c>
      <c r="AI306" t="str">
        <f t="shared" si="48"/>
        <v>Standard Class</v>
      </c>
      <c r="AJ306" s="3" t="str">
        <f t="shared" si="49"/>
        <v>anomaly</v>
      </c>
      <c r="AK306">
        <f t="shared" si="50"/>
        <v>-82</v>
      </c>
    </row>
    <row r="307" spans="1:37">
      <c r="A307" t="s">
        <v>1559</v>
      </c>
      <c r="B307" t="s">
        <v>1560</v>
      </c>
      <c r="C307" t="s">
        <v>1223</v>
      </c>
      <c r="D307" t="s">
        <v>1561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1562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  <c r="W307" t="s">
        <v>1559</v>
      </c>
      <c r="X307" t="str">
        <v>01-05-24</v>
      </c>
      <c r="Y307" t="str">
        <v>05-02-24</v>
      </c>
      <c r="Z307" t="s">
        <v>1561</v>
      </c>
      <c r="AA307" t="str">
        <v>Ananya Rao</v>
      </c>
      <c r="AB307" t="str">
        <f t="shared" si="41"/>
        <v>Consumer</v>
      </c>
      <c r="AC307" t="str">
        <f t="shared" si="42"/>
        <v>East</v>
      </c>
      <c r="AD307" t="str">
        <f t="shared" si="43"/>
        <v>Assam</v>
      </c>
      <c r="AE307" t="str">
        <f t="shared" si="44"/>
        <v>Guwahati</v>
      </c>
      <c r="AF307" t="str">
        <f t="shared" si="45"/>
        <v>Furniture</v>
      </c>
      <c r="AG307" t="str">
        <f t="shared" si="46"/>
        <v>Chairs</v>
      </c>
      <c r="AH307" t="str">
        <f t="shared" si="47"/>
        <v>Eco Chairs 105</v>
      </c>
      <c r="AI307" t="str">
        <f t="shared" si="48"/>
        <v>First Class</v>
      </c>
      <c r="AJ307" s="3" t="str">
        <f t="shared" si="49"/>
        <v>anomaly</v>
      </c>
      <c r="AK307">
        <f t="shared" si="50"/>
        <v>-86</v>
      </c>
    </row>
    <row r="308" spans="1:37">
      <c r="A308" t="s">
        <v>1563</v>
      </c>
      <c r="B308" t="s">
        <v>1564</v>
      </c>
      <c r="C308" t="s">
        <v>97</v>
      </c>
      <c r="D308" t="s">
        <v>1565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1566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  <c r="W308" t="s">
        <v>1563</v>
      </c>
      <c r="X308" t="str">
        <v>20-02-25</v>
      </c>
      <c r="Y308" t="str">
        <v>23-02-25</v>
      </c>
      <c r="Z308" t="s">
        <v>1565</v>
      </c>
      <c r="AA308" t="str">
        <v>Aarav Sharma</v>
      </c>
      <c r="AB308" t="str">
        <f t="shared" si="41"/>
        <v>Consumer</v>
      </c>
      <c r="AC308" t="str">
        <f t="shared" si="42"/>
        <v>North</v>
      </c>
      <c r="AD308" t="str">
        <f t="shared" si="43"/>
        <v>Rajasthan</v>
      </c>
      <c r="AE308" t="str">
        <f t="shared" si="44"/>
        <v>Jaipur</v>
      </c>
      <c r="AF308" t="str">
        <f t="shared" si="45"/>
        <v>Technology</v>
      </c>
      <c r="AG308" t="str">
        <f t="shared" si="46"/>
        <v>Phones</v>
      </c>
      <c r="AH308" t="str">
        <f t="shared" si="47"/>
        <v>Pro Phones 530</v>
      </c>
      <c r="AI308" t="str">
        <f t="shared" si="48"/>
        <v>Second Class</v>
      </c>
      <c r="AJ308" s="3" t="str">
        <f t="shared" si="49"/>
        <v>anomaly</v>
      </c>
      <c r="AK308">
        <f t="shared" si="50"/>
        <v>3</v>
      </c>
    </row>
    <row r="309" spans="1:37">
      <c r="A309" t="s">
        <v>1567</v>
      </c>
      <c r="B309" t="s">
        <v>1568</v>
      </c>
      <c r="C309" t="s">
        <v>1569</v>
      </c>
      <c r="D309" t="s">
        <v>1570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1571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1572</v>
      </c>
      <c r="U309" t="s">
        <v>78</v>
      </c>
      <c r="W309" t="s">
        <v>1567</v>
      </c>
      <c r="X309" t="str">
        <v>12-07-25</v>
      </c>
      <c r="Y309" t="str">
        <v>19-07-25</v>
      </c>
      <c r="Z309" t="s">
        <v>1570</v>
      </c>
      <c r="AA309" t="str">
        <v>Ananya Rao</v>
      </c>
      <c r="AB309" t="str">
        <f t="shared" si="41"/>
        <v>Corporate</v>
      </c>
      <c r="AC309" t="str">
        <f t="shared" si="42"/>
        <v>North</v>
      </c>
      <c r="AD309" t="str">
        <f t="shared" si="43"/>
        <v>Uttar Pradesh</v>
      </c>
      <c r="AE309" t="str">
        <f t="shared" si="44"/>
        <v>Noida</v>
      </c>
      <c r="AF309" t="str">
        <f t="shared" si="45"/>
        <v>Furniture</v>
      </c>
      <c r="AG309" t="str">
        <f t="shared" si="46"/>
        <v>Tables</v>
      </c>
      <c r="AH309" t="str">
        <f t="shared" si="47"/>
        <v>Basic Tables 911</v>
      </c>
      <c r="AI309" t="str">
        <f t="shared" si="48"/>
        <v>First Class</v>
      </c>
      <c r="AJ309" s="3" t="str">
        <f t="shared" si="49"/>
        <v>anomaly</v>
      </c>
      <c r="AK309">
        <f t="shared" si="50"/>
        <v>7</v>
      </c>
    </row>
    <row r="310" spans="1:37">
      <c r="A310" t="s">
        <v>1573</v>
      </c>
      <c r="B310" t="s">
        <v>1574</v>
      </c>
      <c r="C310" t="s">
        <v>1575</v>
      </c>
      <c r="D310" t="s">
        <v>1576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1577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  <c r="W310" t="s">
        <v>1573</v>
      </c>
      <c r="X310" t="str">
        <v>13-06-25</v>
      </c>
      <c r="Y310" t="str">
        <v>19-06-25</v>
      </c>
      <c r="Z310" t="s">
        <v>1576</v>
      </c>
      <c r="AA310" t="str">
        <v>Rohan Mehta</v>
      </c>
      <c r="AB310" t="str">
        <f t="shared" si="41"/>
        <v>Consumer</v>
      </c>
      <c r="AC310" t="str">
        <f t="shared" si="42"/>
        <v>North</v>
      </c>
      <c r="AD310" t="str">
        <f t="shared" si="43"/>
        <v>Rajasthan</v>
      </c>
      <c r="AE310" t="str">
        <f t="shared" si="44"/>
        <v>Jaipur</v>
      </c>
      <c r="AF310" t="str">
        <f t="shared" si="45"/>
        <v>Furniture</v>
      </c>
      <c r="AG310" t="str">
        <f t="shared" si="46"/>
        <v>Tables</v>
      </c>
      <c r="AH310" t="str">
        <f t="shared" si="47"/>
        <v>Classic Tables 224</v>
      </c>
      <c r="AI310" t="str">
        <f t="shared" si="48"/>
        <v>First Class</v>
      </c>
      <c r="AJ310" s="3" t="str">
        <f t="shared" si="49"/>
        <v>anomaly</v>
      </c>
      <c r="AK310">
        <f t="shared" si="50"/>
        <v>6</v>
      </c>
    </row>
    <row r="311" spans="1:37">
      <c r="A311" t="s">
        <v>1578</v>
      </c>
      <c r="B311" t="s">
        <v>1579</v>
      </c>
      <c r="C311" t="s">
        <v>127</v>
      </c>
      <c r="D311" t="s">
        <v>1580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1581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  <c r="W311" t="s">
        <v>1578</v>
      </c>
      <c r="X311" t="str">
        <v>invalid date</v>
      </c>
      <c r="Y311" t="str">
        <v>22-07-24</v>
      </c>
      <c r="Z311" t="s">
        <v>1580</v>
      </c>
      <c r="AA311" t="str">
        <v>Ananya Rao</v>
      </c>
      <c r="AB311" t="str">
        <f t="shared" si="41"/>
        <v>Consumer</v>
      </c>
      <c r="AC311" t="str">
        <f t="shared" si="42"/>
        <v>South</v>
      </c>
      <c r="AD311" t="str">
        <f t="shared" si="43"/>
        <v>Tamil Nadu</v>
      </c>
      <c r="AE311" t="str">
        <f t="shared" si="44"/>
        <v>Chennai</v>
      </c>
      <c r="AF311" t="str">
        <f t="shared" si="45"/>
        <v>Furniture</v>
      </c>
      <c r="AG311" t="str">
        <f t="shared" si="46"/>
        <v>Tables</v>
      </c>
      <c r="AH311" t="str">
        <f t="shared" si="47"/>
        <v>Prime Tables 214</v>
      </c>
      <c r="AI311" t="str">
        <f t="shared" si="48"/>
        <v>First Class</v>
      </c>
      <c r="AJ311" s="3" t="str">
        <f t="shared" si="49"/>
        <v>Invalid</v>
      </c>
      <c r="AK311" t="str">
        <f t="shared" si="50"/>
        <v>invalid date</v>
      </c>
    </row>
    <row r="312" spans="1:37">
      <c r="A312" t="s">
        <v>1582</v>
      </c>
      <c r="B312" t="s">
        <v>1583</v>
      </c>
      <c r="C312" t="s">
        <v>1584</v>
      </c>
      <c r="D312" t="s">
        <v>1585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1586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  <c r="W312" t="s">
        <v>1582</v>
      </c>
      <c r="X312" t="str">
        <v>04-07-24</v>
      </c>
      <c r="Y312" t="str">
        <v>08-07-24</v>
      </c>
      <c r="Z312" t="s">
        <v>1585</v>
      </c>
      <c r="AA312" t="str">
        <v>Rohan Mehta</v>
      </c>
      <c r="AB312" t="str">
        <f t="shared" si="41"/>
        <v>Small Business</v>
      </c>
      <c r="AC312" t="str">
        <f t="shared" si="42"/>
        <v>South</v>
      </c>
      <c r="AD312" t="str">
        <f t="shared" si="43"/>
        <v>Tamil Nadu</v>
      </c>
      <c r="AE312" t="str">
        <f t="shared" si="44"/>
        <v>Chennai</v>
      </c>
      <c r="AF312" t="str">
        <f t="shared" si="45"/>
        <v>Technology</v>
      </c>
      <c r="AG312" t="str">
        <f t="shared" si="46"/>
        <v>Machines</v>
      </c>
      <c r="AH312" t="str">
        <f t="shared" si="47"/>
        <v>Max Machines 988</v>
      </c>
      <c r="AI312" t="str">
        <f t="shared" si="48"/>
        <v>First Class</v>
      </c>
      <c r="AJ312" s="3" t="str">
        <f t="shared" si="49"/>
        <v>anomaly</v>
      </c>
      <c r="AK312">
        <f t="shared" si="50"/>
        <v>4</v>
      </c>
    </row>
    <row r="313" spans="1:37">
      <c r="A313" t="s">
        <v>1587</v>
      </c>
      <c r="B313" t="s">
        <v>1588</v>
      </c>
      <c r="C313" t="s">
        <v>947</v>
      </c>
      <c r="D313" t="s">
        <v>1589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1590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  <c r="W313" t="s">
        <v>1587</v>
      </c>
      <c r="X313" t="str">
        <v>27-04-24</v>
      </c>
      <c r="Y313" t="str">
        <v>02-05-24</v>
      </c>
      <c r="Z313" t="s">
        <v>1589</v>
      </c>
      <c r="AA313" t="str">
        <v>Mira Das</v>
      </c>
      <c r="AB313" t="str">
        <f t="shared" si="41"/>
        <v>Corporate</v>
      </c>
      <c r="AC313" t="str">
        <f t="shared" si="42"/>
        <v>South</v>
      </c>
      <c r="AD313" t="str">
        <f t="shared" si="43"/>
        <v>Karnataka</v>
      </c>
      <c r="AE313" t="str">
        <f t="shared" si="44"/>
        <v>Bengaluru</v>
      </c>
      <c r="AF313" t="str">
        <f t="shared" si="45"/>
        <v>Office Supplies</v>
      </c>
      <c r="AG313" t="str">
        <f t="shared" si="46"/>
        <v>Binders</v>
      </c>
      <c r="AH313" t="str">
        <f t="shared" si="47"/>
        <v>Max Binders 425</v>
      </c>
      <c r="AI313" t="str">
        <f t="shared" si="48"/>
        <v>Second Class</v>
      </c>
      <c r="AJ313" s="3" t="str">
        <f t="shared" si="49"/>
        <v xml:space="preserve">  </v>
      </c>
      <c r="AK313">
        <f t="shared" si="50"/>
        <v>5</v>
      </c>
    </row>
    <row r="314" spans="1:37">
      <c r="A314" t="s">
        <v>1591</v>
      </c>
      <c r="B314" t="s">
        <v>1592</v>
      </c>
      <c r="C314" t="s">
        <v>516</v>
      </c>
      <c r="D314" t="s">
        <v>1593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1594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  <c r="W314" t="s">
        <v>1591</v>
      </c>
      <c r="X314" t="str">
        <v>invalid date</v>
      </c>
      <c r="Y314" t="str">
        <v>04-08-24</v>
      </c>
      <c r="Z314" t="s">
        <v>1593</v>
      </c>
      <c r="AA314" t="str">
        <v>Karan Malhotra</v>
      </c>
      <c r="AB314" t="str">
        <f t="shared" si="41"/>
        <v>Small Business</v>
      </c>
      <c r="AC314" t="str">
        <f t="shared" si="42"/>
        <v>East</v>
      </c>
      <c r="AD314" t="str">
        <f t="shared" si="43"/>
        <v>Assam</v>
      </c>
      <c r="AE314" t="str">
        <f t="shared" si="44"/>
        <v>Guwahati</v>
      </c>
      <c r="AF314" t="str">
        <f t="shared" si="45"/>
        <v>Technology</v>
      </c>
      <c r="AG314" t="str">
        <f t="shared" si="46"/>
        <v>Phones</v>
      </c>
      <c r="AH314" t="str">
        <f t="shared" si="47"/>
        <v>Elite Phones 679</v>
      </c>
      <c r="AI314" t="str">
        <f t="shared" si="48"/>
        <v>Standard Class</v>
      </c>
      <c r="AJ314" s="3" t="str">
        <f t="shared" si="49"/>
        <v>Invalid</v>
      </c>
      <c r="AK314" t="str">
        <f t="shared" si="50"/>
        <v>invalid date</v>
      </c>
    </row>
    <row r="315" spans="1:37">
      <c r="A315" t="s">
        <v>1595</v>
      </c>
      <c r="B315" t="s">
        <v>1596</v>
      </c>
      <c r="C315" t="s">
        <v>1597</v>
      </c>
      <c r="D315" t="s">
        <v>1598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1599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  <c r="W315" t="s">
        <v>1595</v>
      </c>
      <c r="X315" t="str">
        <v>30-05-25</v>
      </c>
      <c r="Y315" t="str">
        <v>31-05-25</v>
      </c>
      <c r="Z315" t="s">
        <v>1598</v>
      </c>
      <c r="AA315" t="str">
        <v>Rahul Verma</v>
      </c>
      <c r="AB315" t="str">
        <f t="shared" si="41"/>
        <v>Corporate</v>
      </c>
      <c r="AC315" t="str">
        <f t="shared" si="42"/>
        <v>North</v>
      </c>
      <c r="AD315" t="str">
        <f t="shared" si="43"/>
        <v>Uttar Pradesh</v>
      </c>
      <c r="AE315" t="str">
        <f t="shared" si="44"/>
        <v>Noida</v>
      </c>
      <c r="AF315" t="str">
        <f t="shared" si="45"/>
        <v>Technology</v>
      </c>
      <c r="AG315" t="str">
        <f t="shared" si="46"/>
        <v>Phones</v>
      </c>
      <c r="AH315" t="str">
        <f t="shared" si="47"/>
        <v>Pro Phones 764</v>
      </c>
      <c r="AI315" t="str">
        <f t="shared" si="48"/>
        <v>First Class</v>
      </c>
      <c r="AJ315" s="3" t="str">
        <f t="shared" si="49"/>
        <v>anomaly</v>
      </c>
      <c r="AK315">
        <f t="shared" si="50"/>
        <v>1</v>
      </c>
    </row>
    <row r="316" spans="1:37">
      <c r="A316" t="s">
        <v>1600</v>
      </c>
      <c r="B316" t="s">
        <v>1103</v>
      </c>
      <c r="C316" t="s">
        <v>118</v>
      </c>
      <c r="D316" t="s">
        <v>1601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1602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  <c r="W316" t="s">
        <v>1600</v>
      </c>
      <c r="X316" t="str">
        <v>invalid date</v>
      </c>
      <c r="Y316" t="str">
        <v>20-05-25</v>
      </c>
      <c r="Z316" t="s">
        <v>1601</v>
      </c>
      <c r="AA316" t="str">
        <v>Isha Nair</v>
      </c>
      <c r="AB316" t="str">
        <f t="shared" si="41"/>
        <v>Corporate</v>
      </c>
      <c r="AC316" t="str">
        <f t="shared" si="42"/>
        <v>West</v>
      </c>
      <c r="AD316" t="str">
        <f t="shared" si="43"/>
        <v>Madhya Pradesh</v>
      </c>
      <c r="AE316" t="str">
        <f t="shared" si="44"/>
        <v>Indore</v>
      </c>
      <c r="AF316" t="str">
        <f t="shared" si="45"/>
        <v>Office Supplies</v>
      </c>
      <c r="AG316" t="str">
        <f t="shared" si="46"/>
        <v>Labels</v>
      </c>
      <c r="AH316" t="str">
        <f t="shared" si="47"/>
        <v>Elite Labels 544</v>
      </c>
      <c r="AI316" t="str">
        <f t="shared" si="48"/>
        <v>Standard Class</v>
      </c>
      <c r="AJ316" s="3" t="str">
        <f t="shared" si="49"/>
        <v>Invalid</v>
      </c>
      <c r="AK316" t="str">
        <f t="shared" si="50"/>
        <v>invalid date</v>
      </c>
    </row>
    <row r="317" spans="1:37">
      <c r="A317" t="s">
        <v>1603</v>
      </c>
      <c r="B317" t="s">
        <v>1604</v>
      </c>
      <c r="C317" t="s">
        <v>1605</v>
      </c>
      <c r="D317" t="s">
        <v>1606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1607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  <c r="W317" t="s">
        <v>1603</v>
      </c>
      <c r="X317" t="str">
        <v>02-07-24</v>
      </c>
      <c r="Y317" t="str">
        <v>08-07-24</v>
      </c>
      <c r="Z317" t="s">
        <v>1606</v>
      </c>
      <c r="AA317" t="str">
        <v>Rohan Mehta</v>
      </c>
      <c r="AB317" t="str">
        <f t="shared" si="41"/>
        <v>Consumer</v>
      </c>
      <c r="AC317" t="str">
        <f t="shared" si="42"/>
        <v>North</v>
      </c>
      <c r="AD317" t="str">
        <f t="shared" si="43"/>
        <v>Delhi</v>
      </c>
      <c r="AE317" t="str">
        <f t="shared" si="44"/>
        <v>New Delhi</v>
      </c>
      <c r="AF317" t="str">
        <f t="shared" si="45"/>
        <v>Office Supplies</v>
      </c>
      <c r="AG317" t="str">
        <f t="shared" si="46"/>
        <v>Paper</v>
      </c>
      <c r="AH317" t="str">
        <f t="shared" si="47"/>
        <v>Smart Paper 817</v>
      </c>
      <c r="AI317" t="str">
        <f t="shared" si="48"/>
        <v>Standard Class</v>
      </c>
      <c r="AJ317" s="3" t="str">
        <f t="shared" si="49"/>
        <v>anomaly</v>
      </c>
      <c r="AK317">
        <f t="shared" si="50"/>
        <v>6</v>
      </c>
    </row>
    <row r="318" spans="1:37">
      <c r="A318" t="s">
        <v>1608</v>
      </c>
      <c r="B318" t="s">
        <v>1609</v>
      </c>
      <c r="C318" t="s">
        <v>1610</v>
      </c>
      <c r="D318" t="s">
        <v>1611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1612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  <c r="W318" t="s">
        <v>1608</v>
      </c>
      <c r="X318" t="str">
        <v>16-02-24</v>
      </c>
      <c r="Y318" t="str">
        <v>invalid date</v>
      </c>
      <c r="Z318" t="s">
        <v>1611</v>
      </c>
      <c r="AA318" t="str">
        <v>Karan Malhotra</v>
      </c>
      <c r="AB318" t="str">
        <f t="shared" si="41"/>
        <v>Corporate</v>
      </c>
      <c r="AC318" t="str">
        <f t="shared" si="42"/>
        <v>North</v>
      </c>
      <c r="AD318" t="str">
        <f t="shared" si="43"/>
        <v>Punjab</v>
      </c>
      <c r="AE318" t="str">
        <f t="shared" si="44"/>
        <v>Ludhiana</v>
      </c>
      <c r="AF318" t="str">
        <f t="shared" si="45"/>
        <v>Office Supplies</v>
      </c>
      <c r="AG318" t="str">
        <f t="shared" si="46"/>
        <v>Labels</v>
      </c>
      <c r="AH318" t="str">
        <f t="shared" si="47"/>
        <v>Classic Labels 466</v>
      </c>
      <c r="AI318" t="str">
        <f t="shared" si="48"/>
        <v>Standard Class</v>
      </c>
      <c r="AJ318" s="3" t="str">
        <f t="shared" si="49"/>
        <v>Invalid</v>
      </c>
      <c r="AK318" t="str">
        <f t="shared" si="50"/>
        <v>invalid date</v>
      </c>
    </row>
    <row r="319" spans="1:37">
      <c r="A319" t="s">
        <v>1613</v>
      </c>
      <c r="B319" t="s">
        <v>1614</v>
      </c>
      <c r="C319" t="s">
        <v>1615</v>
      </c>
      <c r="D319" t="s">
        <v>1616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1617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  <c r="W319" t="s">
        <v>1613</v>
      </c>
      <c r="X319" t="str">
        <v>29-08-25</v>
      </c>
      <c r="Y319" t="str">
        <v>04-09-25</v>
      </c>
      <c r="Z319" t="s">
        <v>1616</v>
      </c>
      <c r="AA319" t="str">
        <v>Neha Gupta</v>
      </c>
      <c r="AB319" t="str">
        <f t="shared" si="41"/>
        <v>Corporate</v>
      </c>
      <c r="AC319" t="str">
        <f t="shared" si="42"/>
        <v>South</v>
      </c>
      <c r="AD319" t="str">
        <f t="shared" si="43"/>
        <v>Kerala</v>
      </c>
      <c r="AE319" t="str">
        <f t="shared" si="44"/>
        <v>Kochi</v>
      </c>
      <c r="AF319" t="str">
        <f t="shared" si="45"/>
        <v>Furniture</v>
      </c>
      <c r="AG319" t="str">
        <f t="shared" si="46"/>
        <v>Tables</v>
      </c>
      <c r="AH319" t="str">
        <f t="shared" si="47"/>
        <v>Pro Tables 778</v>
      </c>
      <c r="AI319" t="str">
        <f t="shared" si="48"/>
        <v>First Class</v>
      </c>
      <c r="AJ319" s="3" t="str">
        <f t="shared" si="49"/>
        <v xml:space="preserve">  </v>
      </c>
      <c r="AK319">
        <f t="shared" si="50"/>
        <v>6</v>
      </c>
    </row>
    <row r="320" spans="1:37">
      <c r="A320" t="s">
        <v>1618</v>
      </c>
      <c r="B320" t="s">
        <v>1619</v>
      </c>
      <c r="C320" t="s">
        <v>1620</v>
      </c>
      <c r="D320" t="s">
        <v>1621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1622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  <c r="W320" t="s">
        <v>1618</v>
      </c>
      <c r="X320" t="str">
        <v>25-04-24</v>
      </c>
      <c r="Y320" t="str">
        <v>30-04-24</v>
      </c>
      <c r="Z320" t="s">
        <v>1621</v>
      </c>
      <c r="AA320" t="str">
        <v>Mira Das</v>
      </c>
      <c r="AB320" t="str">
        <f t="shared" si="41"/>
        <v>Small Business</v>
      </c>
      <c r="AC320" t="str">
        <f t="shared" si="42"/>
        <v>South</v>
      </c>
      <c r="AD320" t="str">
        <f t="shared" si="43"/>
        <v>Karnataka</v>
      </c>
      <c r="AE320" t="str">
        <f t="shared" si="44"/>
        <v>Bengaluru</v>
      </c>
      <c r="AF320" t="str">
        <f t="shared" si="45"/>
        <v>Technology</v>
      </c>
      <c r="AG320" t="str">
        <f t="shared" si="46"/>
        <v>Phones</v>
      </c>
      <c r="AH320" t="str">
        <f t="shared" si="47"/>
        <v>Basic Phones 789</v>
      </c>
      <c r="AI320" t="str">
        <f t="shared" si="48"/>
        <v>Standard Class</v>
      </c>
      <c r="AJ320" s="3" t="str">
        <f t="shared" si="49"/>
        <v>anomaly</v>
      </c>
      <c r="AK320">
        <f t="shared" si="50"/>
        <v>5</v>
      </c>
    </row>
    <row r="321" spans="1:37">
      <c r="A321" t="s">
        <v>1623</v>
      </c>
      <c r="B321" t="s">
        <v>1624</v>
      </c>
      <c r="C321" t="s">
        <v>1625</v>
      </c>
      <c r="D321" t="s">
        <v>1626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1627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  <c r="W321" t="s">
        <v>1623</v>
      </c>
      <c r="X321" t="str">
        <v>21-08-24</v>
      </c>
      <c r="Y321" t="str">
        <v>invalid date</v>
      </c>
      <c r="Z321" t="s">
        <v>1626</v>
      </c>
      <c r="AA321" t="str">
        <v>Diya Patel</v>
      </c>
      <c r="AB321" t="str">
        <f t="shared" si="41"/>
        <v>Consumer</v>
      </c>
      <c r="AC321" t="str">
        <f t="shared" si="42"/>
        <v>West</v>
      </c>
      <c r="AD321" t="str">
        <f t="shared" si="43"/>
        <v>Gujarat</v>
      </c>
      <c r="AE321" t="str">
        <f t="shared" si="44"/>
        <v>Ahmedabad</v>
      </c>
      <c r="AF321" t="str">
        <f t="shared" si="45"/>
        <v>Office Supplies</v>
      </c>
      <c r="AG321" t="str">
        <f t="shared" si="46"/>
        <v>Binders</v>
      </c>
      <c r="AH321" t="str">
        <f t="shared" si="47"/>
        <v>Prime Binders 554</v>
      </c>
      <c r="AI321" t="str">
        <f t="shared" si="48"/>
        <v>First Class</v>
      </c>
      <c r="AJ321" s="3" t="str">
        <f t="shared" si="49"/>
        <v>Invalid</v>
      </c>
      <c r="AK321" t="str">
        <f t="shared" si="50"/>
        <v>invalid date</v>
      </c>
    </row>
    <row r="322" spans="1:37">
      <c r="A322" t="s">
        <v>1628</v>
      </c>
      <c r="B322" t="s">
        <v>1629</v>
      </c>
      <c r="C322" t="s">
        <v>1630</v>
      </c>
      <c r="D322" t="s">
        <v>1631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1632</v>
      </c>
      <c r="M322" t="s">
        <v>33</v>
      </c>
      <c r="N322">
        <v>3</v>
      </c>
      <c r="O322">
        <v>876.14</v>
      </c>
      <c r="P322" s="6" t="s">
        <v>4117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  <c r="W322" t="s">
        <v>1628</v>
      </c>
      <c r="X322" t="str">
        <v>12-04-24</v>
      </c>
      <c r="Y322" t="str">
        <v>12-06-24</v>
      </c>
      <c r="Z322" t="s">
        <v>1631</v>
      </c>
      <c r="AA322" t="str">
        <v>Aarav Sharma</v>
      </c>
      <c r="AB322" t="str">
        <f t="shared" si="41"/>
        <v>Home Office</v>
      </c>
      <c r="AC322" t="str">
        <f t="shared" si="42"/>
        <v>East</v>
      </c>
      <c r="AD322" t="str">
        <f t="shared" si="43"/>
        <v>West Bengal</v>
      </c>
      <c r="AE322" t="str">
        <f t="shared" si="44"/>
        <v>Kolkata</v>
      </c>
      <c r="AF322" t="str">
        <f t="shared" si="45"/>
        <v>Office Supplies</v>
      </c>
      <c r="AG322" t="str">
        <f t="shared" si="46"/>
        <v>Art</v>
      </c>
      <c r="AH322" t="str">
        <f t="shared" si="47"/>
        <v>Classic Art 299</v>
      </c>
      <c r="AI322" t="str">
        <f t="shared" si="48"/>
        <v>Second Class</v>
      </c>
      <c r="AJ322" s="3" t="str">
        <f t="shared" si="49"/>
        <v>anomaly</v>
      </c>
      <c r="AK322">
        <f t="shared" si="50"/>
        <v>61</v>
      </c>
    </row>
    <row r="323" spans="1:37">
      <c r="A323" t="s">
        <v>1633</v>
      </c>
      <c r="B323" t="s">
        <v>1634</v>
      </c>
      <c r="C323" t="s">
        <v>1635</v>
      </c>
      <c r="D323" t="s">
        <v>1636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1637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  <c r="W323" t="s">
        <v>1633</v>
      </c>
      <c r="X323" t="str">
        <v>invalid date</v>
      </c>
      <c r="Y323" t="str">
        <v>30-06-24</v>
      </c>
      <c r="Z323" t="s">
        <v>1636</v>
      </c>
      <c r="AA323" t="str">
        <v>Neha Gupta</v>
      </c>
      <c r="AB323" t="str">
        <f t="shared" ref="AB323:AB386" si="51">TRIM(PROPER(F:F))</f>
        <v>Small Business</v>
      </c>
      <c r="AC323" t="str">
        <f t="shared" ref="AC323:AC386" si="52">TRIM(PROPER(G:G))</f>
        <v>West</v>
      </c>
      <c r="AD323" t="str">
        <f t="shared" ref="AD323:AD386" si="53">TRIM(PROPER(H:H))</f>
        <v>Goa</v>
      </c>
      <c r="AE323" t="str">
        <f t="shared" ref="AE323:AE386" si="54">TRIM(PROPER(I:I))</f>
        <v>Panaji</v>
      </c>
      <c r="AF323" t="str">
        <f t="shared" ref="AF323:AF386" si="55">TRIM(PROPER(J:J))</f>
        <v>Technology</v>
      </c>
      <c r="AG323" t="str">
        <f t="shared" ref="AG323:AG386" si="56">TRIM(PROPER(K:K))</f>
        <v>Accessories</v>
      </c>
      <c r="AH323" t="str">
        <f t="shared" ref="AH323:AH386" si="57">TRIM(PROPER(L:L))</f>
        <v>Eco Accessories 220</v>
      </c>
      <c r="AI323" t="str">
        <f t="shared" ref="AI323:AI386" si="58">TRIM(PROPER(M:M))</f>
        <v>Same Day</v>
      </c>
      <c r="AJ323" s="3" t="str">
        <f t="shared" ref="AJ323:AJ386" si="59">IF(OR(X:X="Invalid Date",Y:Y="Invalid Date"),"Invalid",(IF(X:X&lt;Y:Y,"anomaly", "  ")))</f>
        <v>Invalid</v>
      </c>
      <c r="AK323" t="str">
        <f t="shared" ref="AK323:AK386" si="60">IFERROR(Y323-X323, "invalid date")</f>
        <v>invalid date</v>
      </c>
    </row>
    <row r="324" spans="1:37">
      <c r="A324" t="s">
        <v>1638</v>
      </c>
      <c r="B324" t="s">
        <v>1534</v>
      </c>
      <c r="C324" t="s">
        <v>1639</v>
      </c>
      <c r="D324" t="s">
        <v>1640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1641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  <c r="W324" t="s">
        <v>1638</v>
      </c>
      <c r="X324" t="str">
        <v>12-11-24</v>
      </c>
      <c r="Y324" t="str">
        <v>12-11-24</v>
      </c>
      <c r="Z324" t="s">
        <v>1640</v>
      </c>
      <c r="AA324" t="str">
        <v>Isha Nair</v>
      </c>
      <c r="AB324" t="str">
        <f t="shared" si="51"/>
        <v>Consumer</v>
      </c>
      <c r="AC324" t="str">
        <f t="shared" si="52"/>
        <v>North</v>
      </c>
      <c r="AD324" t="str">
        <f t="shared" si="53"/>
        <v>Uttar Pradesh</v>
      </c>
      <c r="AE324" t="str">
        <f t="shared" si="54"/>
        <v>Noida</v>
      </c>
      <c r="AF324" t="str">
        <f t="shared" si="55"/>
        <v>Technology</v>
      </c>
      <c r="AG324" t="str">
        <f t="shared" si="56"/>
        <v>Phones</v>
      </c>
      <c r="AH324" t="str">
        <f t="shared" si="57"/>
        <v>Max Phones 422</v>
      </c>
      <c r="AI324" t="str">
        <f t="shared" si="58"/>
        <v>Second Class</v>
      </c>
      <c r="AJ324" s="3" t="str">
        <f t="shared" si="59"/>
        <v xml:space="preserve">  </v>
      </c>
      <c r="AK324">
        <f t="shared" si="60"/>
        <v>0</v>
      </c>
    </row>
    <row r="325" spans="1:37">
      <c r="A325" t="s">
        <v>1642</v>
      </c>
      <c r="B325" t="s">
        <v>1643</v>
      </c>
      <c r="C325" t="s">
        <v>1644</v>
      </c>
      <c r="D325" t="s">
        <v>1645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  <c r="W325" t="s">
        <v>1642</v>
      </c>
      <c r="X325" t="str">
        <v>25-02-24</v>
      </c>
      <c r="Y325" t="str">
        <v>29-02-24</v>
      </c>
      <c r="Z325" t="s">
        <v>1645</v>
      </c>
      <c r="AA325" t="str">
        <v>Isha Nair</v>
      </c>
      <c r="AB325" t="str">
        <f t="shared" si="51"/>
        <v>Small Business</v>
      </c>
      <c r="AC325" t="str">
        <f t="shared" si="52"/>
        <v>West</v>
      </c>
      <c r="AD325" t="str">
        <f t="shared" si="53"/>
        <v>Goa</v>
      </c>
      <c r="AE325" t="str">
        <f t="shared" si="54"/>
        <v>Panaji</v>
      </c>
      <c r="AF325" t="str">
        <f t="shared" si="55"/>
        <v>Furniture</v>
      </c>
      <c r="AG325" t="str">
        <f t="shared" si="56"/>
        <v>Furnishings</v>
      </c>
      <c r="AH325" t="str">
        <f t="shared" si="57"/>
        <v>Eco Furnishings 897</v>
      </c>
      <c r="AI325" t="str">
        <f t="shared" si="58"/>
        <v>Standard Class</v>
      </c>
      <c r="AJ325" s="3" t="str">
        <f t="shared" si="59"/>
        <v>anomaly</v>
      </c>
      <c r="AK325">
        <f t="shared" si="60"/>
        <v>4</v>
      </c>
    </row>
    <row r="326" spans="1:37">
      <c r="A326" t="s">
        <v>1646</v>
      </c>
      <c r="B326" t="s">
        <v>1647</v>
      </c>
      <c r="C326" t="s">
        <v>942</v>
      </c>
      <c r="D326" t="s">
        <v>1648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1649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  <c r="W326" t="s">
        <v>1646</v>
      </c>
      <c r="X326" t="str">
        <v>31-07-25</v>
      </c>
      <c r="Y326" t="str">
        <v>02-08-25</v>
      </c>
      <c r="Z326" t="s">
        <v>1648</v>
      </c>
      <c r="AA326" t="str">
        <v>Rohan Mehta</v>
      </c>
      <c r="AB326" t="str">
        <f t="shared" si="51"/>
        <v>Home Office</v>
      </c>
      <c r="AC326" t="str">
        <f t="shared" si="52"/>
        <v>South</v>
      </c>
      <c r="AD326" t="str">
        <f t="shared" si="53"/>
        <v>Andhra Pradesh</v>
      </c>
      <c r="AE326" t="str">
        <f t="shared" si="54"/>
        <v>Vijayawada</v>
      </c>
      <c r="AF326" t="str">
        <f t="shared" si="55"/>
        <v>Office Supplies</v>
      </c>
      <c r="AG326" t="str">
        <f t="shared" si="56"/>
        <v>Labels</v>
      </c>
      <c r="AH326" t="str">
        <f t="shared" si="57"/>
        <v>Basic Labels 102</v>
      </c>
      <c r="AI326" t="str">
        <f t="shared" si="58"/>
        <v>Same Day</v>
      </c>
      <c r="AJ326" s="3" t="str">
        <f t="shared" si="59"/>
        <v xml:space="preserve">  </v>
      </c>
      <c r="AK326">
        <f t="shared" si="60"/>
        <v>2</v>
      </c>
    </row>
    <row r="327" spans="1:37">
      <c r="A327" t="s">
        <v>1650</v>
      </c>
      <c r="B327" t="s">
        <v>1651</v>
      </c>
      <c r="C327" t="s">
        <v>1652</v>
      </c>
      <c r="D327" t="s">
        <v>1653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1654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  <c r="W327" t="s">
        <v>1650</v>
      </c>
      <c r="X327" t="str">
        <v>invalid date</v>
      </c>
      <c r="Y327" t="str">
        <v>22-09-25</v>
      </c>
      <c r="Z327" t="s">
        <v>1653</v>
      </c>
      <c r="AA327" t="str">
        <v>Sneha Kapoor</v>
      </c>
      <c r="AB327" t="str">
        <f t="shared" si="51"/>
        <v>Home Office</v>
      </c>
      <c r="AC327" t="str">
        <f t="shared" si="52"/>
        <v>East</v>
      </c>
      <c r="AD327" t="str">
        <f t="shared" si="53"/>
        <v>West Bengal</v>
      </c>
      <c r="AE327" t="str">
        <f t="shared" si="54"/>
        <v>Kolkata</v>
      </c>
      <c r="AF327" t="str">
        <f t="shared" si="55"/>
        <v>Technology</v>
      </c>
      <c r="AG327" t="str">
        <f t="shared" si="56"/>
        <v>Copiers</v>
      </c>
      <c r="AH327" t="str">
        <f t="shared" si="57"/>
        <v>Prime Copiers 170</v>
      </c>
      <c r="AI327" t="str">
        <f t="shared" si="58"/>
        <v>Second Class</v>
      </c>
      <c r="AJ327" s="3" t="str">
        <f t="shared" si="59"/>
        <v>Invalid</v>
      </c>
      <c r="AK327" t="str">
        <f t="shared" si="60"/>
        <v>invalid date</v>
      </c>
    </row>
    <row r="328" spans="1:37">
      <c r="A328" t="s">
        <v>1655</v>
      </c>
      <c r="B328" t="s">
        <v>1656</v>
      </c>
      <c r="C328" t="s">
        <v>1510</v>
      </c>
      <c r="D328" t="s">
        <v>1657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1658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  <c r="W328" t="s">
        <v>1655</v>
      </c>
      <c r="X328" t="str">
        <v>22-07-25</v>
      </c>
      <c r="Y328" t="str">
        <v>invalid date</v>
      </c>
      <c r="Z328" t="s">
        <v>1657</v>
      </c>
      <c r="AA328" t="str">
        <v>Sneha Kapoor</v>
      </c>
      <c r="AB328" t="str">
        <f t="shared" si="51"/>
        <v>Corporate</v>
      </c>
      <c r="AC328" t="str">
        <f t="shared" si="52"/>
        <v>East</v>
      </c>
      <c r="AD328" t="str">
        <f t="shared" si="53"/>
        <v>Jharkhand</v>
      </c>
      <c r="AE328" t="str">
        <f t="shared" si="54"/>
        <v>Ranchi</v>
      </c>
      <c r="AF328" t="str">
        <f t="shared" si="55"/>
        <v>Furniture</v>
      </c>
      <c r="AG328" t="str">
        <f t="shared" si="56"/>
        <v>Furnishings</v>
      </c>
      <c r="AH328" t="str">
        <f t="shared" si="57"/>
        <v>Smart Furnishings 533</v>
      </c>
      <c r="AI328" t="str">
        <f t="shared" si="58"/>
        <v>Same Day</v>
      </c>
      <c r="AJ328" s="3" t="str">
        <f t="shared" si="59"/>
        <v>Invalid</v>
      </c>
      <c r="AK328" t="str">
        <f t="shared" si="60"/>
        <v>invalid date</v>
      </c>
    </row>
    <row r="329" spans="1:37">
      <c r="A329" t="s">
        <v>1659</v>
      </c>
      <c r="B329" t="s">
        <v>1660</v>
      </c>
      <c r="C329" t="s">
        <v>264</v>
      </c>
      <c r="D329" t="s">
        <v>1661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1662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  <c r="W329" t="s">
        <v>1659</v>
      </c>
      <c r="X329" t="str">
        <v>24-07-24</v>
      </c>
      <c r="Y329" t="str">
        <v>27-07-24</v>
      </c>
      <c r="Z329" t="s">
        <v>1661</v>
      </c>
      <c r="AA329" t="str">
        <v>Isha Nair</v>
      </c>
      <c r="AB329" t="str">
        <f t="shared" si="51"/>
        <v>Consumer</v>
      </c>
      <c r="AC329" t="str">
        <f t="shared" si="52"/>
        <v>West</v>
      </c>
      <c r="AD329" t="str">
        <f t="shared" si="53"/>
        <v>Rajasthan</v>
      </c>
      <c r="AE329" t="str">
        <f t="shared" si="54"/>
        <v>Udaipur</v>
      </c>
      <c r="AF329" t="str">
        <f t="shared" si="55"/>
        <v>Technology</v>
      </c>
      <c r="AG329" t="str">
        <f t="shared" si="56"/>
        <v>Accessories</v>
      </c>
      <c r="AH329" t="str">
        <f t="shared" si="57"/>
        <v>Classic Accessories 489</v>
      </c>
      <c r="AI329" t="str">
        <f t="shared" si="58"/>
        <v>Second Class</v>
      </c>
      <c r="AJ329" s="3" t="str">
        <f t="shared" si="59"/>
        <v>anomaly</v>
      </c>
      <c r="AK329">
        <f t="shared" si="60"/>
        <v>3</v>
      </c>
    </row>
    <row r="330" spans="1:37">
      <c r="A330" t="s">
        <v>1663</v>
      </c>
      <c r="B330" t="s">
        <v>1664</v>
      </c>
      <c r="C330" t="s">
        <v>1430</v>
      </c>
      <c r="D330" t="s">
        <v>1665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1666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  <c r="W330" t="s">
        <v>1663</v>
      </c>
      <c r="X330" t="str">
        <v>29-05-25</v>
      </c>
      <c r="Y330" t="str">
        <v>04-06-25</v>
      </c>
      <c r="Z330" t="s">
        <v>1665</v>
      </c>
      <c r="AA330" t="str">
        <v>Diya Patel</v>
      </c>
      <c r="AB330" t="str">
        <f t="shared" si="51"/>
        <v>Consumer</v>
      </c>
      <c r="AC330" t="str">
        <f t="shared" si="52"/>
        <v>West</v>
      </c>
      <c r="AD330" t="str">
        <f t="shared" si="53"/>
        <v>Maharashtra</v>
      </c>
      <c r="AE330" t="str">
        <f t="shared" si="54"/>
        <v>Mumbai</v>
      </c>
      <c r="AF330" t="str">
        <f t="shared" si="55"/>
        <v>Office Supplies</v>
      </c>
      <c r="AG330" t="str">
        <f t="shared" si="56"/>
        <v>Storage</v>
      </c>
      <c r="AH330" t="str">
        <f t="shared" si="57"/>
        <v>Smart Storage 439</v>
      </c>
      <c r="AI330" t="str">
        <f t="shared" si="58"/>
        <v>First Class</v>
      </c>
      <c r="AJ330" s="3" t="str">
        <f t="shared" si="59"/>
        <v xml:space="preserve">  </v>
      </c>
      <c r="AK330">
        <f t="shared" si="60"/>
        <v>6</v>
      </c>
    </row>
    <row r="331" spans="1:37">
      <c r="A331" t="s">
        <v>1667</v>
      </c>
      <c r="B331" t="s">
        <v>1668</v>
      </c>
      <c r="C331" t="s">
        <v>1669</v>
      </c>
      <c r="D331" t="s">
        <v>1670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1671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  <c r="W331" t="s">
        <v>1667</v>
      </c>
      <c r="X331" t="str">
        <v>12-05-25</v>
      </c>
      <c r="Y331" t="str">
        <v>18-05-25</v>
      </c>
      <c r="Z331" t="s">
        <v>1670</v>
      </c>
      <c r="AA331" t="str">
        <v>Neha Gupta</v>
      </c>
      <c r="AB331" t="str">
        <f t="shared" si="51"/>
        <v>Small Business</v>
      </c>
      <c r="AC331" t="str">
        <f t="shared" si="52"/>
        <v>West</v>
      </c>
      <c r="AD331" t="str">
        <f t="shared" si="53"/>
        <v>Maharashtra</v>
      </c>
      <c r="AE331" t="str">
        <f t="shared" si="54"/>
        <v>Mumbai</v>
      </c>
      <c r="AF331" t="str">
        <f t="shared" si="55"/>
        <v>Office Supplies</v>
      </c>
      <c r="AG331" t="str">
        <f t="shared" si="56"/>
        <v>Storage</v>
      </c>
      <c r="AH331" t="str">
        <f t="shared" si="57"/>
        <v>Prime Storage 232</v>
      </c>
      <c r="AI331" t="str">
        <f t="shared" si="58"/>
        <v>Standard Class</v>
      </c>
      <c r="AJ331" s="3" t="str">
        <f t="shared" si="59"/>
        <v>anomaly</v>
      </c>
      <c r="AK331">
        <f t="shared" si="60"/>
        <v>6</v>
      </c>
    </row>
    <row r="332" spans="1:37">
      <c r="A332" t="s">
        <v>1672</v>
      </c>
      <c r="B332" t="s">
        <v>1127</v>
      </c>
      <c r="C332" t="s">
        <v>708</v>
      </c>
      <c r="D332" t="s">
        <v>1673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1674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  <c r="W332" t="s">
        <v>1672</v>
      </c>
      <c r="X332" t="str">
        <v>invalid date</v>
      </c>
      <c r="Y332" t="str">
        <v>invalid date</v>
      </c>
      <c r="Z332" t="s">
        <v>1673</v>
      </c>
      <c r="AA332" t="str">
        <v>Arjun Bose</v>
      </c>
      <c r="AB332" t="str">
        <f t="shared" si="51"/>
        <v>Home Office</v>
      </c>
      <c r="AC332" t="str">
        <f t="shared" si="52"/>
        <v>North</v>
      </c>
      <c r="AD332" t="str">
        <f t="shared" si="53"/>
        <v>Punjab</v>
      </c>
      <c r="AE332" t="str">
        <f t="shared" si="54"/>
        <v>Ludhiana</v>
      </c>
      <c r="AF332" t="str">
        <f t="shared" si="55"/>
        <v>Technology</v>
      </c>
      <c r="AG332" t="str">
        <f t="shared" si="56"/>
        <v>Accessories</v>
      </c>
      <c r="AH332" t="str">
        <f t="shared" si="57"/>
        <v>Prime Accessories 335</v>
      </c>
      <c r="AI332" t="str">
        <f t="shared" si="58"/>
        <v>Same Day</v>
      </c>
      <c r="AJ332" s="3" t="str">
        <f t="shared" si="59"/>
        <v>Invalid</v>
      </c>
      <c r="AK332" t="str">
        <f t="shared" si="60"/>
        <v>invalid date</v>
      </c>
    </row>
    <row r="333" spans="1:37">
      <c r="A333" t="s">
        <v>1675</v>
      </c>
      <c r="B333" t="s">
        <v>704</v>
      </c>
      <c r="C333" t="s">
        <v>1676</v>
      </c>
      <c r="D333" t="s">
        <v>1677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1678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  <c r="W333" t="s">
        <v>1675</v>
      </c>
      <c r="X333" t="str">
        <v>04-12-24</v>
      </c>
      <c r="Y333" t="str">
        <v>06-12-24</v>
      </c>
      <c r="Z333" t="s">
        <v>1677</v>
      </c>
      <c r="AA333" t="str">
        <v>Sneha Kapoor</v>
      </c>
      <c r="AB333" t="str">
        <f t="shared" si="51"/>
        <v>Home Office</v>
      </c>
      <c r="AC333" t="str">
        <f t="shared" si="52"/>
        <v>East</v>
      </c>
      <c r="AD333" t="str">
        <f t="shared" si="53"/>
        <v>Odisha</v>
      </c>
      <c r="AE333" t="str">
        <f t="shared" si="54"/>
        <v>Bhubaneswar</v>
      </c>
      <c r="AF333" t="str">
        <f t="shared" si="55"/>
        <v>Office Supplies</v>
      </c>
      <c r="AG333" t="str">
        <f t="shared" si="56"/>
        <v>Binders</v>
      </c>
      <c r="AH333" t="str">
        <f t="shared" si="57"/>
        <v>Smart Binders 939</v>
      </c>
      <c r="AI333" t="str">
        <f t="shared" si="58"/>
        <v>Second Class</v>
      </c>
      <c r="AJ333" s="3" t="str">
        <f t="shared" si="59"/>
        <v>anomaly</v>
      </c>
      <c r="AK333">
        <f t="shared" si="60"/>
        <v>2</v>
      </c>
    </row>
    <row r="334" spans="1:37">
      <c r="A334" t="s">
        <v>1679</v>
      </c>
      <c r="B334" t="s">
        <v>1680</v>
      </c>
      <c r="C334" t="s">
        <v>1681</v>
      </c>
      <c r="D334" t="s">
        <v>1682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1683</v>
      </c>
      <c r="L334" t="s">
        <v>1684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  <c r="W334" t="s">
        <v>1679</v>
      </c>
      <c r="X334" t="str">
        <v>27-05-25</v>
      </c>
      <c r="Y334" t="str">
        <v>28-05-25</v>
      </c>
      <c r="Z334" t="s">
        <v>1682</v>
      </c>
      <c r="AA334" t="str">
        <v>Aarav Sharma</v>
      </c>
      <c r="AB334" t="str">
        <f t="shared" si="51"/>
        <v>Consumer</v>
      </c>
      <c r="AC334" t="str">
        <f t="shared" si="52"/>
        <v>South</v>
      </c>
      <c r="AD334" t="str">
        <f t="shared" si="53"/>
        <v>Andhra Pradesh</v>
      </c>
      <c r="AE334" t="str">
        <f t="shared" si="54"/>
        <v>Vijayawada</v>
      </c>
      <c r="AF334" t="str">
        <f t="shared" si="55"/>
        <v>Technology</v>
      </c>
      <c r="AG334" t="str">
        <f t="shared" si="56"/>
        <v>Machines</v>
      </c>
      <c r="AH334" t="str">
        <f t="shared" si="57"/>
        <v>Basic Machines 601</v>
      </c>
      <c r="AI334" t="str">
        <f t="shared" si="58"/>
        <v>Second Class</v>
      </c>
      <c r="AJ334" s="3" t="str">
        <f t="shared" si="59"/>
        <v>anomaly</v>
      </c>
      <c r="AK334">
        <f t="shared" si="60"/>
        <v>1</v>
      </c>
    </row>
    <row r="335" spans="1:37">
      <c r="A335" t="s">
        <v>1685</v>
      </c>
      <c r="B335" t="s">
        <v>1686</v>
      </c>
      <c r="C335" t="s">
        <v>1687</v>
      </c>
      <c r="D335" t="s">
        <v>1688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1689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  <c r="W335" t="s">
        <v>1685</v>
      </c>
      <c r="X335" t="str">
        <v>22-06-25</v>
      </c>
      <c r="Y335" t="str">
        <v>27-06-25</v>
      </c>
      <c r="Z335" t="s">
        <v>1688</v>
      </c>
      <c r="AA335" t="str">
        <v>Rohan Mehta</v>
      </c>
      <c r="AB335" t="str">
        <f t="shared" si="51"/>
        <v>Home Office</v>
      </c>
      <c r="AC335" s="5" t="s">
        <v>4116</v>
      </c>
      <c r="AD335" t="str">
        <f t="shared" si="53"/>
        <v>Delhi</v>
      </c>
      <c r="AE335" t="str">
        <f t="shared" si="54"/>
        <v>New Delhi</v>
      </c>
      <c r="AF335" t="str">
        <f t="shared" si="55"/>
        <v>Technology</v>
      </c>
      <c r="AG335" t="str">
        <f t="shared" si="56"/>
        <v>Phones</v>
      </c>
      <c r="AH335" t="str">
        <f t="shared" si="57"/>
        <v>Pro Phones 968</v>
      </c>
      <c r="AI335" t="str">
        <f t="shared" si="58"/>
        <v>First Class</v>
      </c>
      <c r="AJ335" s="3" t="str">
        <f t="shared" si="59"/>
        <v>anomaly</v>
      </c>
      <c r="AK335">
        <f t="shared" si="60"/>
        <v>5</v>
      </c>
    </row>
    <row r="336" spans="1:37">
      <c r="A336" t="s">
        <v>1690</v>
      </c>
      <c r="B336" t="s">
        <v>1691</v>
      </c>
      <c r="C336" t="s">
        <v>1692</v>
      </c>
      <c r="D336" t="s">
        <v>1693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1694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  <c r="W336" t="s">
        <v>1690</v>
      </c>
      <c r="X336" t="str">
        <v>12-09-24</v>
      </c>
      <c r="Y336" t="str">
        <v>17-09-24</v>
      </c>
      <c r="Z336" t="s">
        <v>1693</v>
      </c>
      <c r="AA336" t="str">
        <v>Ananya Rao</v>
      </c>
      <c r="AB336" t="str">
        <f t="shared" si="51"/>
        <v>Consumer</v>
      </c>
      <c r="AC336" t="str">
        <f t="shared" si="52"/>
        <v>East</v>
      </c>
      <c r="AD336" t="str">
        <f t="shared" si="53"/>
        <v>Jharkhand</v>
      </c>
      <c r="AE336" t="str">
        <f t="shared" si="54"/>
        <v>Ranchi</v>
      </c>
      <c r="AF336" t="str">
        <f t="shared" si="55"/>
        <v>Office Supplies</v>
      </c>
      <c r="AG336" t="str">
        <f t="shared" si="56"/>
        <v>Storage</v>
      </c>
      <c r="AH336" t="str">
        <f t="shared" si="57"/>
        <v>Pro Storage 563</v>
      </c>
      <c r="AI336" t="str">
        <f t="shared" si="58"/>
        <v>First Class</v>
      </c>
      <c r="AJ336" s="3" t="str">
        <f t="shared" si="59"/>
        <v>anomaly</v>
      </c>
      <c r="AK336">
        <f t="shared" si="60"/>
        <v>5</v>
      </c>
    </row>
    <row r="337" spans="1:37">
      <c r="A337" t="s">
        <v>1695</v>
      </c>
      <c r="B337" t="s">
        <v>1696</v>
      </c>
      <c r="C337" t="s">
        <v>1697</v>
      </c>
      <c r="D337" t="s">
        <v>1698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1699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  <c r="W337" t="s">
        <v>1695</v>
      </c>
      <c r="X337" t="str">
        <v>invalid date</v>
      </c>
      <c r="Y337" t="str">
        <v>18-06-25</v>
      </c>
      <c r="Z337" t="s">
        <v>1698</v>
      </c>
      <c r="AA337" t="str">
        <v>Rahul Verma</v>
      </c>
      <c r="AB337" t="str">
        <f t="shared" si="51"/>
        <v>Home Office</v>
      </c>
      <c r="AC337" t="str">
        <f t="shared" si="52"/>
        <v>West</v>
      </c>
      <c r="AD337" t="str">
        <f t="shared" si="53"/>
        <v>Madhya Pradesh</v>
      </c>
      <c r="AE337" t="str">
        <f t="shared" si="54"/>
        <v>Indore</v>
      </c>
      <c r="AF337" t="str">
        <f t="shared" si="55"/>
        <v>Office Supplies</v>
      </c>
      <c r="AG337" t="str">
        <f t="shared" si="56"/>
        <v>Paper</v>
      </c>
      <c r="AH337" t="str">
        <f t="shared" si="57"/>
        <v>Prime Paper 559</v>
      </c>
      <c r="AI337" t="str">
        <f t="shared" si="58"/>
        <v>First Class</v>
      </c>
      <c r="AJ337" s="3" t="str">
        <f t="shared" si="59"/>
        <v>Invalid</v>
      </c>
      <c r="AK337" t="str">
        <f t="shared" si="60"/>
        <v>invalid date</v>
      </c>
    </row>
    <row r="338" spans="1:37">
      <c r="A338" t="s">
        <v>1700</v>
      </c>
      <c r="B338" t="s">
        <v>304</v>
      </c>
      <c r="C338" t="s">
        <v>1701</v>
      </c>
      <c r="D338" t="s">
        <v>1319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1702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  <c r="W338" t="s">
        <v>1700</v>
      </c>
      <c r="X338" t="str">
        <v>17-03-24</v>
      </c>
      <c r="Y338" t="str">
        <v>invalid date</v>
      </c>
      <c r="Z338" t="s">
        <v>1319</v>
      </c>
      <c r="AA338" t="str">
        <v>Aarav Sharma</v>
      </c>
      <c r="AB338" t="str">
        <f t="shared" si="51"/>
        <v>Consumer</v>
      </c>
      <c r="AC338" t="str">
        <f t="shared" si="52"/>
        <v>North</v>
      </c>
      <c r="AD338" t="str">
        <f t="shared" si="53"/>
        <v>Rajasthan</v>
      </c>
      <c r="AE338" t="str">
        <f t="shared" si="54"/>
        <v>Jaipur</v>
      </c>
      <c r="AF338" t="str">
        <f t="shared" si="55"/>
        <v>Technology</v>
      </c>
      <c r="AG338" t="str">
        <f t="shared" si="56"/>
        <v>Copiers</v>
      </c>
      <c r="AH338" t="str">
        <f t="shared" si="57"/>
        <v>Pro Copiers 999</v>
      </c>
      <c r="AI338" t="str">
        <f t="shared" si="58"/>
        <v>First Class</v>
      </c>
      <c r="AJ338" s="3" t="str">
        <f t="shared" si="59"/>
        <v>Invalid</v>
      </c>
      <c r="AK338" t="str">
        <f t="shared" si="60"/>
        <v>invalid date</v>
      </c>
    </row>
    <row r="339" spans="1:37">
      <c r="A339" t="s">
        <v>1703</v>
      </c>
      <c r="B339" t="s">
        <v>1704</v>
      </c>
      <c r="C339" t="s">
        <v>1705</v>
      </c>
      <c r="D339" t="s">
        <v>1706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1707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  <c r="W339" t="s">
        <v>1703</v>
      </c>
      <c r="X339" t="str">
        <v>12-08-24</v>
      </c>
      <c r="Y339" t="str">
        <v>18-08-24</v>
      </c>
      <c r="Z339" t="s">
        <v>1706</v>
      </c>
      <c r="AA339" t="str">
        <v>Ananya Rao</v>
      </c>
      <c r="AB339" t="str">
        <f t="shared" si="51"/>
        <v>Consumer</v>
      </c>
      <c r="AC339" t="str">
        <f t="shared" si="52"/>
        <v>East</v>
      </c>
      <c r="AD339" t="str">
        <f t="shared" si="53"/>
        <v>Assam</v>
      </c>
      <c r="AE339" t="str">
        <f t="shared" si="54"/>
        <v>Guwahati</v>
      </c>
      <c r="AF339" t="str">
        <f t="shared" si="55"/>
        <v>Office Supplies</v>
      </c>
      <c r="AG339" t="str">
        <f t="shared" si="56"/>
        <v>Labels</v>
      </c>
      <c r="AH339" t="str">
        <f t="shared" si="57"/>
        <v>Classic Labels 206</v>
      </c>
      <c r="AI339" t="str">
        <f t="shared" si="58"/>
        <v>Same Day</v>
      </c>
      <c r="AJ339" s="3" t="str">
        <f t="shared" si="59"/>
        <v>anomaly</v>
      </c>
      <c r="AK339">
        <f t="shared" si="60"/>
        <v>6</v>
      </c>
    </row>
    <row r="340" spans="1:37">
      <c r="A340" t="s">
        <v>1708</v>
      </c>
      <c r="B340" t="s">
        <v>1709</v>
      </c>
      <c r="C340" t="s">
        <v>1462</v>
      </c>
      <c r="D340" t="s">
        <v>1710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1711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  <c r="W340" t="s">
        <v>1708</v>
      </c>
      <c r="X340" t="str">
        <v>08-12-24</v>
      </c>
      <c r="Y340" t="str">
        <v>12-08-24</v>
      </c>
      <c r="Z340" t="s">
        <v>1710</v>
      </c>
      <c r="AA340" t="str">
        <v>Arjun Bose</v>
      </c>
      <c r="AB340" t="str">
        <f t="shared" si="51"/>
        <v>Small Business</v>
      </c>
      <c r="AC340" t="str">
        <f t="shared" si="52"/>
        <v>South</v>
      </c>
      <c r="AD340" t="str">
        <f t="shared" si="53"/>
        <v>Andhra Pradesh</v>
      </c>
      <c r="AE340" t="str">
        <f t="shared" si="54"/>
        <v>Vijayawada</v>
      </c>
      <c r="AF340" t="str">
        <f t="shared" si="55"/>
        <v>Technology</v>
      </c>
      <c r="AG340" t="str">
        <f t="shared" si="56"/>
        <v>Accessories</v>
      </c>
      <c r="AH340" t="str">
        <f t="shared" si="57"/>
        <v>Eco Accessories 315</v>
      </c>
      <c r="AI340" t="str">
        <f t="shared" si="58"/>
        <v>First Class</v>
      </c>
      <c r="AJ340" s="3" t="str">
        <f t="shared" si="59"/>
        <v>anomaly</v>
      </c>
      <c r="AK340">
        <f t="shared" si="60"/>
        <v>-118</v>
      </c>
    </row>
    <row r="341" spans="1:37">
      <c r="A341" t="s">
        <v>1712</v>
      </c>
      <c r="B341" t="s">
        <v>915</v>
      </c>
      <c r="C341" t="s">
        <v>1713</v>
      </c>
      <c r="D341" t="s">
        <v>1714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1715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  <c r="W341" t="s">
        <v>1712</v>
      </c>
      <c r="X341" t="str">
        <v>20-02-25</v>
      </c>
      <c r="Y341" t="str">
        <v>22-02-25</v>
      </c>
      <c r="Z341" t="s">
        <v>1714</v>
      </c>
      <c r="AA341" t="str">
        <v>Neha Gupta</v>
      </c>
      <c r="AB341" t="str">
        <f t="shared" si="51"/>
        <v>Corporate</v>
      </c>
      <c r="AC341" t="str">
        <f t="shared" si="52"/>
        <v>East</v>
      </c>
      <c r="AD341" t="str">
        <f t="shared" si="53"/>
        <v>Jharkhand</v>
      </c>
      <c r="AE341" t="str">
        <f t="shared" si="54"/>
        <v>Ranchi</v>
      </c>
      <c r="AF341" t="str">
        <f t="shared" si="55"/>
        <v>Furniture</v>
      </c>
      <c r="AG341" t="str">
        <f t="shared" si="56"/>
        <v>Bookcases</v>
      </c>
      <c r="AH341" t="str">
        <f t="shared" si="57"/>
        <v>Elite Bookcases 988</v>
      </c>
      <c r="AI341" t="str">
        <f t="shared" si="58"/>
        <v>Standard Class</v>
      </c>
      <c r="AJ341" s="3" t="str">
        <f t="shared" si="59"/>
        <v>anomaly</v>
      </c>
      <c r="AK341">
        <f t="shared" si="60"/>
        <v>2</v>
      </c>
    </row>
    <row r="342" spans="1:37">
      <c r="A342" t="s">
        <v>1716</v>
      </c>
      <c r="B342" t="s">
        <v>1717</v>
      </c>
      <c r="C342" t="s">
        <v>1718</v>
      </c>
      <c r="D342" t="s">
        <v>1719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1720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  <c r="W342" t="s">
        <v>1716</v>
      </c>
      <c r="X342" t="str">
        <v>21-01-24</v>
      </c>
      <c r="Y342" t="str">
        <v>invalid date</v>
      </c>
      <c r="Z342" t="s">
        <v>1719</v>
      </c>
      <c r="AA342" t="str">
        <v>Neha Gupta</v>
      </c>
      <c r="AB342" t="str">
        <f t="shared" si="51"/>
        <v>Consumer</v>
      </c>
      <c r="AC342" t="str">
        <f t="shared" si="52"/>
        <v>South</v>
      </c>
      <c r="AD342" t="str">
        <f t="shared" si="53"/>
        <v>Karnataka</v>
      </c>
      <c r="AE342" t="str">
        <f t="shared" si="54"/>
        <v>Bengaluru</v>
      </c>
      <c r="AF342" t="str">
        <f t="shared" si="55"/>
        <v>Office Supplies</v>
      </c>
      <c r="AG342" t="str">
        <f t="shared" si="56"/>
        <v>Binders</v>
      </c>
      <c r="AH342" t="str">
        <f t="shared" si="57"/>
        <v>Smart Binders 414</v>
      </c>
      <c r="AI342" t="str">
        <f t="shared" si="58"/>
        <v>Standard Class</v>
      </c>
      <c r="AJ342" s="3" t="str">
        <f t="shared" si="59"/>
        <v>Invalid</v>
      </c>
      <c r="AK342" t="str">
        <f t="shared" si="60"/>
        <v>invalid date</v>
      </c>
    </row>
    <row r="343" spans="1:37">
      <c r="A343" t="s">
        <v>1721</v>
      </c>
      <c r="B343" t="s">
        <v>1722</v>
      </c>
      <c r="C343" t="s">
        <v>1723</v>
      </c>
      <c r="D343" t="s">
        <v>1724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1725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  <c r="W343" t="s">
        <v>1721</v>
      </c>
      <c r="X343" t="str">
        <v>08-09-25</v>
      </c>
      <c r="Y343" t="str">
        <v>09-09-25</v>
      </c>
      <c r="Z343" t="s">
        <v>1724</v>
      </c>
      <c r="AA343" t="str">
        <v>Rohan Mehta</v>
      </c>
      <c r="AB343" t="str">
        <f t="shared" si="51"/>
        <v>Home Office</v>
      </c>
      <c r="AC343" t="str">
        <f t="shared" si="52"/>
        <v>West</v>
      </c>
      <c r="AD343" t="str">
        <f t="shared" si="53"/>
        <v>Gujarat</v>
      </c>
      <c r="AE343" t="str">
        <f t="shared" si="54"/>
        <v>Ahmedabad</v>
      </c>
      <c r="AF343" t="str">
        <f t="shared" si="55"/>
        <v>Furniture</v>
      </c>
      <c r="AG343" t="str">
        <f t="shared" si="56"/>
        <v>Chairs</v>
      </c>
      <c r="AH343" t="str">
        <f t="shared" si="57"/>
        <v>Eco Chairs 552</v>
      </c>
      <c r="AI343" t="str">
        <f t="shared" si="58"/>
        <v>Second Class</v>
      </c>
      <c r="AJ343" s="3" t="str">
        <f t="shared" si="59"/>
        <v>anomaly</v>
      </c>
      <c r="AK343">
        <f t="shared" si="60"/>
        <v>1</v>
      </c>
    </row>
    <row r="344" spans="1:37">
      <c r="A344" t="s">
        <v>1726</v>
      </c>
      <c r="B344" t="s">
        <v>1727</v>
      </c>
      <c r="C344" t="s">
        <v>1728</v>
      </c>
      <c r="D344" t="s">
        <v>1729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1730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  <c r="W344" t="s">
        <v>1726</v>
      </c>
      <c r="X344" t="str">
        <v>24-07-25</v>
      </c>
      <c r="Y344" t="str">
        <v>01-08-25</v>
      </c>
      <c r="Z344" t="s">
        <v>1729</v>
      </c>
      <c r="AA344" t="str">
        <v>Kabir Singh</v>
      </c>
      <c r="AB344" t="str">
        <f t="shared" si="51"/>
        <v>Small Business</v>
      </c>
      <c r="AC344" t="str">
        <f t="shared" si="52"/>
        <v>East</v>
      </c>
      <c r="AD344" t="str">
        <f t="shared" si="53"/>
        <v>Jharkhand</v>
      </c>
      <c r="AE344" t="str">
        <f t="shared" si="54"/>
        <v>Ranchi</v>
      </c>
      <c r="AF344" t="str">
        <f t="shared" si="55"/>
        <v>Office Supplies</v>
      </c>
      <c r="AG344" t="str">
        <f t="shared" si="56"/>
        <v>Binders</v>
      </c>
      <c r="AH344" t="str">
        <f t="shared" si="57"/>
        <v>Smart Binders 574</v>
      </c>
      <c r="AI344" t="str">
        <f t="shared" si="58"/>
        <v>First Class</v>
      </c>
      <c r="AJ344" s="3" t="str">
        <f t="shared" si="59"/>
        <v xml:space="preserve">  </v>
      </c>
      <c r="AK344">
        <f t="shared" si="60"/>
        <v>8</v>
      </c>
    </row>
    <row r="345" spans="1:37">
      <c r="A345" t="s">
        <v>1731</v>
      </c>
      <c r="B345" t="s">
        <v>1732</v>
      </c>
      <c r="C345" t="s">
        <v>1189</v>
      </c>
      <c r="D345" t="s">
        <v>1733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1734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  <c r="W345" t="s">
        <v>1731</v>
      </c>
      <c r="X345" t="str">
        <v>10-03-25</v>
      </c>
      <c r="Y345" t="str">
        <v>08-10-25</v>
      </c>
      <c r="Z345" t="s">
        <v>1733</v>
      </c>
      <c r="AA345" t="str">
        <v>Aarav Sharma</v>
      </c>
      <c r="AB345" t="str">
        <f t="shared" si="51"/>
        <v>Corporate</v>
      </c>
      <c r="AC345" t="str">
        <f t="shared" si="52"/>
        <v>West</v>
      </c>
      <c r="AD345" t="str">
        <f t="shared" si="53"/>
        <v>Madhya Pradesh</v>
      </c>
      <c r="AE345" t="str">
        <f t="shared" si="54"/>
        <v>Indore</v>
      </c>
      <c r="AF345" t="str">
        <f t="shared" si="55"/>
        <v>Technology</v>
      </c>
      <c r="AG345" t="str">
        <f t="shared" si="56"/>
        <v>Machines</v>
      </c>
      <c r="AH345" t="str">
        <f t="shared" si="57"/>
        <v>Pro Machines 444</v>
      </c>
      <c r="AI345" t="str">
        <f t="shared" si="58"/>
        <v>Same Day</v>
      </c>
      <c r="AJ345" s="3" t="str">
        <f t="shared" si="59"/>
        <v xml:space="preserve">  </v>
      </c>
      <c r="AK345">
        <f t="shared" si="60"/>
        <v>212</v>
      </c>
    </row>
    <row r="346" spans="1:37">
      <c r="A346" t="s">
        <v>1735</v>
      </c>
      <c r="B346" t="s">
        <v>1505</v>
      </c>
      <c r="C346" t="s">
        <v>1505</v>
      </c>
      <c r="D346" t="s">
        <v>1736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1737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  <c r="W346" t="s">
        <v>1735</v>
      </c>
      <c r="X346" t="str">
        <v>11-03-24</v>
      </c>
      <c r="Y346" t="str">
        <v>11-03-24</v>
      </c>
      <c r="Z346" t="s">
        <v>1736</v>
      </c>
      <c r="AA346" t="str">
        <v>Priya Menon</v>
      </c>
      <c r="AB346" t="str">
        <f t="shared" si="51"/>
        <v>Consumer</v>
      </c>
      <c r="AC346" t="str">
        <f t="shared" si="52"/>
        <v>North</v>
      </c>
      <c r="AD346" t="str">
        <f t="shared" si="53"/>
        <v>Punjab</v>
      </c>
      <c r="AE346" t="str">
        <f t="shared" si="54"/>
        <v>Ludhiana</v>
      </c>
      <c r="AF346" t="str">
        <f t="shared" si="55"/>
        <v>Furniture</v>
      </c>
      <c r="AG346" t="str">
        <f t="shared" si="56"/>
        <v>Bookcases</v>
      </c>
      <c r="AH346" t="str">
        <f t="shared" si="57"/>
        <v>Elite Bookcases 184</v>
      </c>
      <c r="AI346" t="str">
        <f t="shared" si="58"/>
        <v>Same Day</v>
      </c>
      <c r="AJ346" s="3" t="str">
        <f t="shared" si="59"/>
        <v xml:space="preserve">  </v>
      </c>
      <c r="AK346">
        <f t="shared" si="60"/>
        <v>0</v>
      </c>
    </row>
    <row r="347" spans="1:37">
      <c r="A347" t="s">
        <v>1738</v>
      </c>
      <c r="B347" t="s">
        <v>1739</v>
      </c>
      <c r="C347" t="s">
        <v>1740</v>
      </c>
      <c r="D347" t="s">
        <v>1741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1742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  <c r="W347" t="s">
        <v>1738</v>
      </c>
      <c r="X347" t="str">
        <v>14-09-24</v>
      </c>
      <c r="Y347" t="str">
        <v>22-09-24</v>
      </c>
      <c r="Z347" t="s">
        <v>1741</v>
      </c>
      <c r="AA347" t="str">
        <v>Karan Malhotra</v>
      </c>
      <c r="AB347" t="str">
        <f t="shared" si="51"/>
        <v>Consumer</v>
      </c>
      <c r="AC347" t="str">
        <f t="shared" si="52"/>
        <v>West</v>
      </c>
      <c r="AD347" t="str">
        <f t="shared" si="53"/>
        <v>Madhya Pradesh</v>
      </c>
      <c r="AE347" t="str">
        <f t="shared" si="54"/>
        <v>Indore</v>
      </c>
      <c r="AF347" t="str">
        <f t="shared" si="55"/>
        <v>Furniture</v>
      </c>
      <c r="AG347" t="str">
        <f t="shared" si="56"/>
        <v>Furnishings</v>
      </c>
      <c r="AH347" t="str">
        <f t="shared" si="57"/>
        <v>Elite Furnishings 138</v>
      </c>
      <c r="AI347" t="str">
        <f t="shared" si="58"/>
        <v>Second Class</v>
      </c>
      <c r="AJ347" s="3" t="str">
        <f t="shared" si="59"/>
        <v>anomaly</v>
      </c>
      <c r="AK347">
        <f t="shared" si="60"/>
        <v>8</v>
      </c>
    </row>
    <row r="348" spans="1:37">
      <c r="A348" t="s">
        <v>1743</v>
      </c>
      <c r="B348" t="s">
        <v>1656</v>
      </c>
      <c r="C348" t="s">
        <v>1744</v>
      </c>
      <c r="D348" t="s">
        <v>1745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1746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  <c r="W348" t="s">
        <v>1743</v>
      </c>
      <c r="X348" t="str">
        <v>22-07-25</v>
      </c>
      <c r="Y348" t="str">
        <v>28-07-25</v>
      </c>
      <c r="Z348" t="s">
        <v>1745</v>
      </c>
      <c r="AA348" t="str">
        <v>Rahul Verma</v>
      </c>
      <c r="AB348" t="str">
        <f t="shared" si="51"/>
        <v>Corporate</v>
      </c>
      <c r="AC348" t="str">
        <f t="shared" si="52"/>
        <v>South</v>
      </c>
      <c r="AD348" t="str">
        <f t="shared" si="53"/>
        <v>Kerala</v>
      </c>
      <c r="AE348" t="str">
        <f t="shared" si="54"/>
        <v>Kochi</v>
      </c>
      <c r="AF348" t="str">
        <f t="shared" si="55"/>
        <v>Furniture</v>
      </c>
      <c r="AG348" t="str">
        <f t="shared" si="56"/>
        <v>Chairs</v>
      </c>
      <c r="AH348" t="str">
        <f t="shared" si="57"/>
        <v>Eco Chairs 369</v>
      </c>
      <c r="AI348" t="str">
        <f t="shared" si="58"/>
        <v>Second Class</v>
      </c>
      <c r="AJ348" s="3" t="str">
        <f t="shared" si="59"/>
        <v>anomaly</v>
      </c>
      <c r="AK348">
        <f t="shared" si="60"/>
        <v>6</v>
      </c>
    </row>
    <row r="349" spans="1:37">
      <c r="A349" t="s">
        <v>1747</v>
      </c>
      <c r="B349" t="s">
        <v>1748</v>
      </c>
      <c r="C349" t="s">
        <v>1462</v>
      </c>
      <c r="D349" t="s">
        <v>1749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1750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  <c r="W349" t="s">
        <v>1747</v>
      </c>
      <c r="X349" t="str">
        <v>01-12-24</v>
      </c>
      <c r="Y349" t="str">
        <v>12-08-24</v>
      </c>
      <c r="Z349" t="s">
        <v>1749</v>
      </c>
      <c r="AA349" t="str">
        <v>Aarav Sharma</v>
      </c>
      <c r="AB349" t="str">
        <f t="shared" si="51"/>
        <v>Small Business</v>
      </c>
      <c r="AC349" t="str">
        <f t="shared" si="52"/>
        <v>West</v>
      </c>
      <c r="AD349" t="str">
        <f t="shared" si="53"/>
        <v>Goa</v>
      </c>
      <c r="AE349" t="str">
        <f t="shared" si="54"/>
        <v>Panaji</v>
      </c>
      <c r="AF349" t="str">
        <f t="shared" si="55"/>
        <v>Furniture</v>
      </c>
      <c r="AG349" t="str">
        <f t="shared" si="56"/>
        <v>Chairs</v>
      </c>
      <c r="AH349" t="str">
        <f t="shared" si="57"/>
        <v>Max Chairs 487</v>
      </c>
      <c r="AI349" t="str">
        <f t="shared" si="58"/>
        <v>Second Class</v>
      </c>
      <c r="AJ349" s="3" t="str">
        <f t="shared" si="59"/>
        <v>anomaly</v>
      </c>
      <c r="AK349">
        <f t="shared" si="60"/>
        <v>-111</v>
      </c>
    </row>
    <row r="350" spans="1:37">
      <c r="A350" t="s">
        <v>1751</v>
      </c>
      <c r="B350" t="s">
        <v>1301</v>
      </c>
      <c r="C350" t="s">
        <v>1752</v>
      </c>
      <c r="D350" t="s">
        <v>1753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1754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  <c r="W350" t="s">
        <v>1751</v>
      </c>
      <c r="X350" t="str">
        <v>06-02-24</v>
      </c>
      <c r="Y350" t="str">
        <v>06-07-24</v>
      </c>
      <c r="Z350" t="s">
        <v>1753</v>
      </c>
      <c r="AA350" t="str">
        <v>Aarav Sharma</v>
      </c>
      <c r="AB350" t="str">
        <f t="shared" si="51"/>
        <v>Corporate</v>
      </c>
      <c r="AC350" t="str">
        <f t="shared" si="52"/>
        <v>South</v>
      </c>
      <c r="AD350" t="str">
        <f t="shared" si="53"/>
        <v>Karnataka</v>
      </c>
      <c r="AE350" t="str">
        <f t="shared" si="54"/>
        <v>Bengaluru</v>
      </c>
      <c r="AF350" t="str">
        <f t="shared" si="55"/>
        <v>Technology</v>
      </c>
      <c r="AG350" t="str">
        <f t="shared" si="56"/>
        <v>Phones</v>
      </c>
      <c r="AH350" t="str">
        <f t="shared" si="57"/>
        <v>Classic Phones 989</v>
      </c>
      <c r="AI350" t="str">
        <f t="shared" si="58"/>
        <v>Same Day</v>
      </c>
      <c r="AJ350" s="3" t="str">
        <f t="shared" si="59"/>
        <v>anomaly</v>
      </c>
      <c r="AK350">
        <f t="shared" si="60"/>
        <v>151</v>
      </c>
    </row>
    <row r="351" spans="1:37">
      <c r="A351" t="s">
        <v>1755</v>
      </c>
      <c r="B351" t="s">
        <v>1756</v>
      </c>
      <c r="C351" t="s">
        <v>746</v>
      </c>
      <c r="D351" t="s">
        <v>1757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1758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  <c r="W351" t="s">
        <v>1755</v>
      </c>
      <c r="X351" t="str">
        <v>27-09-25</v>
      </c>
      <c r="Y351" t="str">
        <v>invalid date</v>
      </c>
      <c r="Z351" t="s">
        <v>1757</v>
      </c>
      <c r="AA351" t="str">
        <v>Kabir Singh</v>
      </c>
      <c r="AB351" t="str">
        <f t="shared" si="51"/>
        <v>Home Office</v>
      </c>
      <c r="AC351" t="str">
        <f t="shared" si="52"/>
        <v>East</v>
      </c>
      <c r="AD351" t="str">
        <f t="shared" si="53"/>
        <v>Jharkhand</v>
      </c>
      <c r="AE351" t="str">
        <f t="shared" si="54"/>
        <v>Ranchi</v>
      </c>
      <c r="AF351" t="str">
        <f t="shared" si="55"/>
        <v>Furniture</v>
      </c>
      <c r="AG351" t="str">
        <f t="shared" si="56"/>
        <v>Furnishings</v>
      </c>
      <c r="AH351" t="str">
        <f t="shared" si="57"/>
        <v>Max Furnishings 628</v>
      </c>
      <c r="AI351" t="str">
        <f t="shared" si="58"/>
        <v>Second Class</v>
      </c>
      <c r="AJ351" s="3" t="str">
        <f t="shared" si="59"/>
        <v>Invalid</v>
      </c>
      <c r="AK351" t="str">
        <f t="shared" si="60"/>
        <v>invalid date</v>
      </c>
    </row>
    <row r="352" spans="1:37">
      <c r="A352" t="s">
        <v>1759</v>
      </c>
      <c r="B352" t="s">
        <v>1760</v>
      </c>
      <c r="C352" t="s">
        <v>1761</v>
      </c>
      <c r="D352" t="s">
        <v>1762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1763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  <c r="W352" t="s">
        <v>1759</v>
      </c>
      <c r="X352" t="str">
        <v>07-01-24</v>
      </c>
      <c r="Y352" t="str">
        <v>14-01-24</v>
      </c>
      <c r="Z352" t="s">
        <v>1762</v>
      </c>
      <c r="AA352" t="str">
        <v>Sneha Kapoor</v>
      </c>
      <c r="AB352" t="str">
        <f t="shared" si="51"/>
        <v>Small Business</v>
      </c>
      <c r="AC352" t="str">
        <f t="shared" si="52"/>
        <v>East</v>
      </c>
      <c r="AD352" t="str">
        <f t="shared" si="53"/>
        <v>Jharkhand</v>
      </c>
      <c r="AE352" t="str">
        <f t="shared" si="54"/>
        <v>Ranchi</v>
      </c>
      <c r="AF352" t="str">
        <f t="shared" si="55"/>
        <v>Furniture</v>
      </c>
      <c r="AG352" t="str">
        <f t="shared" si="56"/>
        <v>Furnishings</v>
      </c>
      <c r="AH352" t="str">
        <f t="shared" si="57"/>
        <v>Elite Furnishings 279</v>
      </c>
      <c r="AI352" t="str">
        <f t="shared" si="58"/>
        <v>Second Class</v>
      </c>
      <c r="AJ352" s="3" t="str">
        <f t="shared" si="59"/>
        <v>anomaly</v>
      </c>
      <c r="AK352">
        <f t="shared" si="60"/>
        <v>7</v>
      </c>
    </row>
    <row r="353" spans="1:37">
      <c r="A353" t="s">
        <v>1764</v>
      </c>
      <c r="B353" t="s">
        <v>1765</v>
      </c>
      <c r="C353" t="s">
        <v>1680</v>
      </c>
      <c r="D353" t="s">
        <v>1766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1767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  <c r="W353" t="s">
        <v>1764</v>
      </c>
      <c r="X353" t="str">
        <v>23-05-25</v>
      </c>
      <c r="Y353" t="str">
        <v>27-05-25</v>
      </c>
      <c r="Z353" t="s">
        <v>1766</v>
      </c>
      <c r="AA353" t="str">
        <v>Vikram Iyer</v>
      </c>
      <c r="AB353" t="str">
        <f t="shared" si="51"/>
        <v>Small Business</v>
      </c>
      <c r="AC353" t="str">
        <f t="shared" si="52"/>
        <v>South</v>
      </c>
      <c r="AD353" t="str">
        <f t="shared" si="53"/>
        <v>Telangana</v>
      </c>
      <c r="AE353" t="str">
        <f t="shared" si="54"/>
        <v>Hyderabad</v>
      </c>
      <c r="AF353" t="str">
        <f t="shared" si="55"/>
        <v>Office Supplies</v>
      </c>
      <c r="AG353" t="str">
        <f t="shared" si="56"/>
        <v>Storage</v>
      </c>
      <c r="AH353" t="str">
        <f t="shared" si="57"/>
        <v>Pro Storage 847</v>
      </c>
      <c r="AI353" t="str">
        <f t="shared" si="58"/>
        <v>First Class</v>
      </c>
      <c r="AJ353" s="3" t="str">
        <f t="shared" si="59"/>
        <v>anomaly</v>
      </c>
      <c r="AK353">
        <f t="shared" si="60"/>
        <v>4</v>
      </c>
    </row>
    <row r="354" spans="1:37">
      <c r="A354" t="s">
        <v>1768</v>
      </c>
      <c r="B354" t="s">
        <v>1769</v>
      </c>
      <c r="C354" t="s">
        <v>1391</v>
      </c>
      <c r="D354" t="s">
        <v>1770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1771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  <c r="W354" t="s">
        <v>1768</v>
      </c>
      <c r="X354" t="str">
        <v>15-08-25</v>
      </c>
      <c r="Y354" t="str">
        <v>invalid date</v>
      </c>
      <c r="Z354" t="s">
        <v>1770</v>
      </c>
      <c r="AA354" t="str">
        <v>Diya Patel</v>
      </c>
      <c r="AB354" t="str">
        <f t="shared" si="51"/>
        <v>Small Business</v>
      </c>
      <c r="AC354" t="str">
        <f t="shared" si="52"/>
        <v>East</v>
      </c>
      <c r="AD354" t="str">
        <f t="shared" si="53"/>
        <v>Assam</v>
      </c>
      <c r="AE354" t="str">
        <f t="shared" si="54"/>
        <v>Guwahati</v>
      </c>
      <c r="AF354" t="str">
        <f t="shared" si="55"/>
        <v>Technology</v>
      </c>
      <c r="AG354" t="str">
        <f t="shared" si="56"/>
        <v>Copiers</v>
      </c>
      <c r="AH354" t="str">
        <f t="shared" si="57"/>
        <v>Elite Copiers 706</v>
      </c>
      <c r="AI354" t="str">
        <f t="shared" si="58"/>
        <v>First Class</v>
      </c>
      <c r="AJ354" s="3" t="str">
        <f t="shared" si="59"/>
        <v>Invalid</v>
      </c>
      <c r="AK354" t="str">
        <f t="shared" si="60"/>
        <v>invalid date</v>
      </c>
    </row>
    <row r="355" spans="1:37">
      <c r="A355" t="s">
        <v>1772</v>
      </c>
      <c r="B355" t="s">
        <v>1773</v>
      </c>
      <c r="C355" t="s">
        <v>1162</v>
      </c>
      <c r="D355" t="s">
        <v>1774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1775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  <c r="W355" t="s">
        <v>1772</v>
      </c>
      <c r="X355" t="str">
        <v>21-02-25</v>
      </c>
      <c r="Y355" t="str">
        <v>27-02-25</v>
      </c>
      <c r="Z355" t="s">
        <v>1774</v>
      </c>
      <c r="AA355" t="str">
        <v>Ananya Rao</v>
      </c>
      <c r="AB355" t="str">
        <f t="shared" si="51"/>
        <v>Consumer</v>
      </c>
      <c r="AC355" t="str">
        <f t="shared" si="52"/>
        <v>North</v>
      </c>
      <c r="AD355" t="str">
        <f t="shared" si="53"/>
        <v>Rajasthan</v>
      </c>
      <c r="AE355" t="str">
        <f t="shared" si="54"/>
        <v>Jaipur</v>
      </c>
      <c r="AF355" t="str">
        <f t="shared" si="55"/>
        <v>Office Supplies</v>
      </c>
      <c r="AG355" t="str">
        <f t="shared" si="56"/>
        <v>Art</v>
      </c>
      <c r="AH355" t="str">
        <f t="shared" si="57"/>
        <v>Prime Art 978</v>
      </c>
      <c r="AI355" t="str">
        <f t="shared" si="58"/>
        <v>Same Day</v>
      </c>
      <c r="AJ355" s="3" t="str">
        <f t="shared" si="59"/>
        <v>anomaly</v>
      </c>
      <c r="AK355">
        <f t="shared" si="60"/>
        <v>6</v>
      </c>
    </row>
    <row r="356" spans="1:37">
      <c r="A356" t="s">
        <v>1776</v>
      </c>
      <c r="B356" t="s">
        <v>145</v>
      </c>
      <c r="C356" t="s">
        <v>1777</v>
      </c>
      <c r="D356" t="s">
        <v>1778</v>
      </c>
      <c r="E356" t="s">
        <v>366</v>
      </c>
      <c r="F356" t="s">
        <v>1779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1780</v>
      </c>
      <c r="M356" t="s">
        <v>67</v>
      </c>
      <c r="N356">
        <v>6</v>
      </c>
      <c r="O356">
        <v>3346.78</v>
      </c>
      <c r="P356" s="5" t="s">
        <v>4117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  <c r="W356" t="s">
        <v>1776</v>
      </c>
      <c r="X356" t="str">
        <v>27-12-24</v>
      </c>
      <c r="Y356" t="str">
        <v>31-12-24</v>
      </c>
      <c r="Z356" t="s">
        <v>1778</v>
      </c>
      <c r="AA356" t="str">
        <v>Kabir Singh</v>
      </c>
      <c r="AB356" t="str">
        <f t="shared" si="51"/>
        <v>Corporate</v>
      </c>
      <c r="AC356" t="str">
        <f t="shared" si="52"/>
        <v>North</v>
      </c>
      <c r="AD356" t="str">
        <f t="shared" si="53"/>
        <v>Punjab</v>
      </c>
      <c r="AE356" t="str">
        <f t="shared" si="54"/>
        <v>Ludhiana</v>
      </c>
      <c r="AF356" t="str">
        <f t="shared" si="55"/>
        <v>Furniture</v>
      </c>
      <c r="AG356" t="str">
        <f t="shared" si="56"/>
        <v>Furnishings</v>
      </c>
      <c r="AH356" t="str">
        <f t="shared" si="57"/>
        <v>Classic Furnishings 498</v>
      </c>
      <c r="AI356" t="str">
        <f t="shared" si="58"/>
        <v>Standard Class</v>
      </c>
      <c r="AJ356" s="3" t="str">
        <f t="shared" si="59"/>
        <v>anomaly</v>
      </c>
      <c r="AK356">
        <f t="shared" si="60"/>
        <v>4</v>
      </c>
    </row>
    <row r="357" spans="1:37">
      <c r="A357" t="s">
        <v>1781</v>
      </c>
      <c r="B357" t="s">
        <v>1782</v>
      </c>
      <c r="C357" t="s">
        <v>1783</v>
      </c>
      <c r="D357" t="s">
        <v>1784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1785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  <c r="W357" t="s">
        <v>1781</v>
      </c>
      <c r="X357" t="str">
        <v>12-05-24</v>
      </c>
      <c r="Y357" t="str">
        <v>09-05-24</v>
      </c>
      <c r="Z357" t="s">
        <v>1784</v>
      </c>
      <c r="AA357" t="str">
        <v>Priya Menon</v>
      </c>
      <c r="AB357" t="str">
        <f t="shared" si="51"/>
        <v>Corporate</v>
      </c>
      <c r="AC357" t="str">
        <f t="shared" si="52"/>
        <v>West</v>
      </c>
      <c r="AD357" t="str">
        <f t="shared" si="53"/>
        <v>Rajasthan</v>
      </c>
      <c r="AE357" t="str">
        <f t="shared" si="54"/>
        <v>Udaipur</v>
      </c>
      <c r="AF357" t="str">
        <f t="shared" si="55"/>
        <v>Furniture</v>
      </c>
      <c r="AG357" t="str">
        <f t="shared" si="56"/>
        <v>Tables</v>
      </c>
      <c r="AH357" t="str">
        <f t="shared" si="57"/>
        <v>Max Tables 829</v>
      </c>
      <c r="AI357" t="str">
        <f t="shared" si="58"/>
        <v>Standard Class</v>
      </c>
      <c r="AJ357" s="3" t="str">
        <f t="shared" si="59"/>
        <v xml:space="preserve">  </v>
      </c>
      <c r="AK357">
        <f t="shared" si="60"/>
        <v>-3</v>
      </c>
    </row>
    <row r="358" spans="1:37">
      <c r="A358" t="s">
        <v>1786</v>
      </c>
      <c r="B358" t="s">
        <v>1787</v>
      </c>
      <c r="C358" t="s">
        <v>1788</v>
      </c>
      <c r="D358" t="s">
        <v>1789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1790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  <c r="W358" t="s">
        <v>1786</v>
      </c>
      <c r="X358" t="str">
        <v>27-06-25</v>
      </c>
      <c r="Y358" t="str">
        <v>29-06-25</v>
      </c>
      <c r="Z358" t="s">
        <v>1789</v>
      </c>
      <c r="AA358" t="str">
        <v>Rohan Mehta</v>
      </c>
      <c r="AB358" t="str">
        <f t="shared" si="51"/>
        <v>Home Office</v>
      </c>
      <c r="AC358" t="str">
        <f t="shared" si="52"/>
        <v>South</v>
      </c>
      <c r="AD358" t="str">
        <f t="shared" si="53"/>
        <v>Telangana</v>
      </c>
      <c r="AE358" t="str">
        <f t="shared" si="54"/>
        <v>Hyderabad</v>
      </c>
      <c r="AF358" t="str">
        <f t="shared" si="55"/>
        <v>Furniture</v>
      </c>
      <c r="AG358" t="str">
        <f t="shared" si="56"/>
        <v>Chairs</v>
      </c>
      <c r="AH358" t="str">
        <f t="shared" si="57"/>
        <v>Eco Chairs 346</v>
      </c>
      <c r="AI358" t="str">
        <f t="shared" si="58"/>
        <v>First Class</v>
      </c>
      <c r="AJ358" s="3" t="str">
        <f t="shared" si="59"/>
        <v>anomaly</v>
      </c>
      <c r="AK358">
        <f t="shared" si="60"/>
        <v>2</v>
      </c>
    </row>
    <row r="359" spans="1:37">
      <c r="A359" t="s">
        <v>1791</v>
      </c>
      <c r="B359" t="s">
        <v>196</v>
      </c>
      <c r="C359" t="s">
        <v>1792</v>
      </c>
      <c r="D359" t="s">
        <v>1793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1794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  <c r="W359" t="s">
        <v>1791</v>
      </c>
      <c r="X359" t="str">
        <v>21-01-25</v>
      </c>
      <c r="Y359" t="str">
        <v>invalid date</v>
      </c>
      <c r="Z359" t="s">
        <v>1793</v>
      </c>
      <c r="AA359" t="str">
        <v>Mira Das</v>
      </c>
      <c r="AB359" t="str">
        <f t="shared" si="51"/>
        <v>Home Office</v>
      </c>
      <c r="AC359" t="str">
        <f t="shared" si="52"/>
        <v>South</v>
      </c>
      <c r="AD359" t="str">
        <f t="shared" si="53"/>
        <v>Andhra Pradesh</v>
      </c>
      <c r="AE359" t="str">
        <f t="shared" si="54"/>
        <v>Vijayawada</v>
      </c>
      <c r="AF359" t="str">
        <f t="shared" si="55"/>
        <v>Technology</v>
      </c>
      <c r="AG359" t="str">
        <f t="shared" si="56"/>
        <v>Machines</v>
      </c>
      <c r="AH359" t="str">
        <f t="shared" si="57"/>
        <v>Max Machines 770</v>
      </c>
      <c r="AI359" t="str">
        <f t="shared" si="58"/>
        <v>Second Class</v>
      </c>
      <c r="AJ359" s="3" t="str">
        <f t="shared" si="59"/>
        <v>Invalid</v>
      </c>
      <c r="AK359" t="str">
        <f t="shared" si="60"/>
        <v>invalid date</v>
      </c>
    </row>
    <row r="360" spans="1:37">
      <c r="A360" t="s">
        <v>1795</v>
      </c>
      <c r="B360" t="s">
        <v>1796</v>
      </c>
      <c r="C360" t="s">
        <v>1797</v>
      </c>
      <c r="D360" t="s">
        <v>1798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1799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  <c r="W360" t="s">
        <v>1795</v>
      </c>
      <c r="X360" t="str">
        <v>08-09-25</v>
      </c>
      <c r="Y360" t="str">
        <v>07-08-25</v>
      </c>
      <c r="Z360" t="s">
        <v>1798</v>
      </c>
      <c r="AA360" t="str">
        <v>Vikram Iyer</v>
      </c>
      <c r="AB360" t="str">
        <f t="shared" si="51"/>
        <v>Home Office</v>
      </c>
      <c r="AC360" t="str">
        <f t="shared" si="52"/>
        <v>West</v>
      </c>
      <c r="AD360" t="str">
        <f t="shared" si="53"/>
        <v>Gujarat</v>
      </c>
      <c r="AE360" t="str">
        <f t="shared" si="54"/>
        <v>Ahmedabad</v>
      </c>
      <c r="AF360" t="str">
        <f t="shared" si="55"/>
        <v>Furniture</v>
      </c>
      <c r="AG360" t="str">
        <f t="shared" si="56"/>
        <v>Bookcases</v>
      </c>
      <c r="AH360" t="str">
        <f t="shared" si="57"/>
        <v>Smart Bookcases 134</v>
      </c>
      <c r="AI360" t="str">
        <f t="shared" si="58"/>
        <v>Second Class</v>
      </c>
      <c r="AJ360" s="3" t="str">
        <f t="shared" si="59"/>
        <v xml:space="preserve">  </v>
      </c>
      <c r="AK360">
        <f t="shared" si="60"/>
        <v>-32</v>
      </c>
    </row>
    <row r="361" spans="1:37">
      <c r="A361" t="s">
        <v>1800</v>
      </c>
      <c r="B361" t="s">
        <v>1624</v>
      </c>
      <c r="C361" t="s">
        <v>1801</v>
      </c>
      <c r="D361" t="s">
        <v>1802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1803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  <c r="W361" t="s">
        <v>1800</v>
      </c>
      <c r="X361" t="str">
        <v>21-08-24</v>
      </c>
      <c r="Y361" t="str">
        <v>22-08-24</v>
      </c>
      <c r="Z361" t="s">
        <v>1802</v>
      </c>
      <c r="AA361" t="str">
        <v>Isha Nair</v>
      </c>
      <c r="AB361" t="str">
        <f t="shared" si="51"/>
        <v>Consumer</v>
      </c>
      <c r="AC361" t="str">
        <f t="shared" si="52"/>
        <v>South</v>
      </c>
      <c r="AD361" t="str">
        <f t="shared" si="53"/>
        <v>Tamil Nadu</v>
      </c>
      <c r="AE361" t="str">
        <f t="shared" si="54"/>
        <v>Chennai</v>
      </c>
      <c r="AF361" t="str">
        <f t="shared" si="55"/>
        <v>Technology</v>
      </c>
      <c r="AG361" t="str">
        <f t="shared" si="56"/>
        <v>Phones</v>
      </c>
      <c r="AH361" t="str">
        <f t="shared" si="57"/>
        <v>Classic Phones 586</v>
      </c>
      <c r="AI361" t="str">
        <f t="shared" si="58"/>
        <v>Same Day</v>
      </c>
      <c r="AJ361" s="3" t="str">
        <f t="shared" si="59"/>
        <v>anomaly</v>
      </c>
      <c r="AK361">
        <f t="shared" si="60"/>
        <v>1</v>
      </c>
    </row>
    <row r="362" spans="1:37">
      <c r="A362" t="s">
        <v>1804</v>
      </c>
      <c r="B362" t="s">
        <v>1805</v>
      </c>
      <c r="C362" t="s">
        <v>1806</v>
      </c>
      <c r="D362" t="s">
        <v>1807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1808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  <c r="W362" t="s">
        <v>1804</v>
      </c>
      <c r="X362" t="str">
        <v>17-06-24</v>
      </c>
      <c r="Y362" t="str">
        <v>20-06-24</v>
      </c>
      <c r="Z362" t="s">
        <v>1807</v>
      </c>
      <c r="AA362" t="str">
        <v>Sneha Kapoor</v>
      </c>
      <c r="AB362" t="str">
        <f t="shared" si="51"/>
        <v>Small Business</v>
      </c>
      <c r="AC362" t="str">
        <f t="shared" si="52"/>
        <v>West</v>
      </c>
      <c r="AD362" t="str">
        <f t="shared" si="53"/>
        <v>Gujarat</v>
      </c>
      <c r="AE362" t="str">
        <f t="shared" si="54"/>
        <v>Ahmedabad</v>
      </c>
      <c r="AF362" t="str">
        <f t="shared" si="55"/>
        <v>Furniture</v>
      </c>
      <c r="AG362" t="str">
        <f t="shared" si="56"/>
        <v>Furnishings</v>
      </c>
      <c r="AH362" t="str">
        <f t="shared" si="57"/>
        <v>Elite Furnishings 634</v>
      </c>
      <c r="AI362" t="str">
        <f t="shared" si="58"/>
        <v>Standard Class</v>
      </c>
      <c r="AJ362" s="3" t="str">
        <f t="shared" si="59"/>
        <v>anomaly</v>
      </c>
      <c r="AK362">
        <f t="shared" si="60"/>
        <v>3</v>
      </c>
    </row>
    <row r="363" spans="1:37">
      <c r="A363" t="s">
        <v>1809</v>
      </c>
      <c r="B363" t="s">
        <v>1156</v>
      </c>
      <c r="C363" t="s">
        <v>1810</v>
      </c>
      <c r="D363" t="s">
        <v>1811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1812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  <c r="W363" t="s">
        <v>1809</v>
      </c>
      <c r="X363" t="str">
        <v>01-04-25</v>
      </c>
      <c r="Y363" t="str">
        <v>02-04-25</v>
      </c>
      <c r="Z363" t="s">
        <v>1811</v>
      </c>
      <c r="AA363" t="str">
        <v>Rohan Mehta</v>
      </c>
      <c r="AB363" t="str">
        <f t="shared" si="51"/>
        <v>Corporate</v>
      </c>
      <c r="AC363" t="str">
        <f t="shared" si="52"/>
        <v>East</v>
      </c>
      <c r="AD363" t="str">
        <f t="shared" si="53"/>
        <v>Odisha</v>
      </c>
      <c r="AE363" t="str">
        <f t="shared" si="54"/>
        <v>Bhubaneswar</v>
      </c>
      <c r="AF363" t="str">
        <f t="shared" si="55"/>
        <v>Furniture</v>
      </c>
      <c r="AG363" t="str">
        <f t="shared" si="56"/>
        <v>Chairs</v>
      </c>
      <c r="AH363" t="str">
        <f t="shared" si="57"/>
        <v>Basic Chairs 113</v>
      </c>
      <c r="AI363" t="str">
        <f t="shared" si="58"/>
        <v>Second Class</v>
      </c>
      <c r="AJ363" s="3" t="str">
        <f t="shared" si="59"/>
        <v>anomaly</v>
      </c>
      <c r="AK363">
        <f t="shared" si="60"/>
        <v>1</v>
      </c>
    </row>
    <row r="364" spans="1:37">
      <c r="A364" t="s">
        <v>1813</v>
      </c>
      <c r="B364" t="s">
        <v>1814</v>
      </c>
      <c r="C364" t="s">
        <v>1815</v>
      </c>
      <c r="D364" t="s">
        <v>1816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1817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  <c r="W364" t="s">
        <v>1813</v>
      </c>
      <c r="X364" t="str">
        <v>23-08-24</v>
      </c>
      <c r="Y364" t="str">
        <v>25-08-24</v>
      </c>
      <c r="Z364" t="s">
        <v>1816</v>
      </c>
      <c r="AA364" t="str">
        <v>Vikram Iyer</v>
      </c>
      <c r="AB364" t="str">
        <f t="shared" si="51"/>
        <v>Consumer</v>
      </c>
      <c r="AC364" t="str">
        <f t="shared" si="52"/>
        <v>West</v>
      </c>
      <c r="AD364" t="str">
        <f t="shared" si="53"/>
        <v>Goa</v>
      </c>
      <c r="AE364" t="str">
        <f t="shared" si="54"/>
        <v>Panaji</v>
      </c>
      <c r="AF364" t="str">
        <f t="shared" si="55"/>
        <v>Technology</v>
      </c>
      <c r="AG364" t="str">
        <f t="shared" si="56"/>
        <v>Machines</v>
      </c>
      <c r="AH364" t="str">
        <f t="shared" si="57"/>
        <v>Elite Machines 216</v>
      </c>
      <c r="AI364" t="str">
        <f t="shared" si="58"/>
        <v>Same Day</v>
      </c>
      <c r="AJ364" s="3" t="str">
        <f t="shared" si="59"/>
        <v>anomaly</v>
      </c>
      <c r="AK364">
        <f t="shared" si="60"/>
        <v>2</v>
      </c>
    </row>
    <row r="365" spans="1:37">
      <c r="A365" t="s">
        <v>1818</v>
      </c>
      <c r="B365" t="s">
        <v>1819</v>
      </c>
      <c r="C365" t="s">
        <v>1820</v>
      </c>
      <c r="D365" t="s">
        <v>1821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1822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  <c r="W365" t="s">
        <v>1818</v>
      </c>
      <c r="X365" t="str">
        <v>07-07-25</v>
      </c>
      <c r="Y365" t="str">
        <v>07-12-25</v>
      </c>
      <c r="Z365" t="s">
        <v>1821</v>
      </c>
      <c r="AA365" t="str">
        <v>Diya Patel</v>
      </c>
      <c r="AB365" t="str">
        <f t="shared" si="51"/>
        <v>Corporate</v>
      </c>
      <c r="AC365" t="str">
        <f t="shared" si="52"/>
        <v>East</v>
      </c>
      <c r="AD365" t="str">
        <f t="shared" si="53"/>
        <v>West Bengal</v>
      </c>
      <c r="AE365" t="str">
        <f t="shared" si="54"/>
        <v>Kolkata</v>
      </c>
      <c r="AF365" t="str">
        <f t="shared" si="55"/>
        <v>Furniture</v>
      </c>
      <c r="AG365" t="str">
        <f t="shared" si="56"/>
        <v>Tables</v>
      </c>
      <c r="AH365" t="str">
        <f t="shared" si="57"/>
        <v>Smart Tables 943</v>
      </c>
      <c r="AI365" t="str">
        <f t="shared" si="58"/>
        <v>Second Class</v>
      </c>
      <c r="AJ365" s="3" t="str">
        <f t="shared" si="59"/>
        <v>anomaly</v>
      </c>
      <c r="AK365">
        <f t="shared" si="60"/>
        <v>153</v>
      </c>
    </row>
    <row r="366" spans="1:37">
      <c r="A366" t="s">
        <v>1823</v>
      </c>
      <c r="B366" t="s">
        <v>1824</v>
      </c>
      <c r="C366" t="s">
        <v>1825</v>
      </c>
      <c r="D366" t="s">
        <v>1826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1827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  <c r="W366" t="s">
        <v>1823</v>
      </c>
      <c r="X366" t="str">
        <v>invalid date</v>
      </c>
      <c r="Y366" t="str">
        <v>24-03-25</v>
      </c>
      <c r="Z366" t="s">
        <v>1826</v>
      </c>
      <c r="AA366" t="str">
        <v>Aarav Sharma</v>
      </c>
      <c r="AB366" t="str">
        <f t="shared" si="51"/>
        <v>Small Business</v>
      </c>
      <c r="AC366" t="str">
        <f t="shared" si="52"/>
        <v>South</v>
      </c>
      <c r="AD366" t="str">
        <f t="shared" si="53"/>
        <v>Andhra Pradesh</v>
      </c>
      <c r="AE366" t="str">
        <f t="shared" si="54"/>
        <v>Vijayawada</v>
      </c>
      <c r="AF366" t="str">
        <f t="shared" si="55"/>
        <v>Furniture</v>
      </c>
      <c r="AG366" t="str">
        <f t="shared" si="56"/>
        <v>Chairs</v>
      </c>
      <c r="AH366" t="str">
        <f t="shared" si="57"/>
        <v>Prime Chairs 101</v>
      </c>
      <c r="AI366" t="str">
        <f t="shared" si="58"/>
        <v>Second Class</v>
      </c>
      <c r="AJ366" s="3" t="str">
        <f t="shared" si="59"/>
        <v>Invalid</v>
      </c>
      <c r="AK366" t="str">
        <f t="shared" si="60"/>
        <v>invalid date</v>
      </c>
    </row>
    <row r="367" spans="1:37">
      <c r="A367" t="s">
        <v>1828</v>
      </c>
      <c r="B367" t="s">
        <v>1829</v>
      </c>
      <c r="C367" t="s">
        <v>1830</v>
      </c>
      <c r="D367" t="s">
        <v>1831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1832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  <c r="W367" t="s">
        <v>1828</v>
      </c>
      <c r="X367" t="str">
        <v>15-06-24</v>
      </c>
      <c r="Y367" t="str">
        <v>21-06-24</v>
      </c>
      <c r="Z367" t="s">
        <v>1831</v>
      </c>
      <c r="AA367" t="str">
        <v>Aditi Sen</v>
      </c>
      <c r="AB367" t="str">
        <f t="shared" si="51"/>
        <v>Corporate</v>
      </c>
      <c r="AC367" t="str">
        <f t="shared" si="52"/>
        <v>West</v>
      </c>
      <c r="AD367" t="str">
        <f t="shared" si="53"/>
        <v>Goa</v>
      </c>
      <c r="AE367" t="str">
        <f t="shared" si="54"/>
        <v>Panaji</v>
      </c>
      <c r="AF367" t="str">
        <f t="shared" si="55"/>
        <v>Technology</v>
      </c>
      <c r="AG367" t="str">
        <f t="shared" si="56"/>
        <v>Accessories</v>
      </c>
      <c r="AH367" t="str">
        <f t="shared" si="57"/>
        <v>Basic Accessories 774</v>
      </c>
      <c r="AI367" t="str">
        <f t="shared" si="58"/>
        <v>First Class</v>
      </c>
      <c r="AJ367" s="3" t="str">
        <f t="shared" si="59"/>
        <v>anomaly</v>
      </c>
      <c r="AK367">
        <f t="shared" si="60"/>
        <v>6</v>
      </c>
    </row>
    <row r="368" spans="1:37">
      <c r="A368" t="s">
        <v>1833</v>
      </c>
      <c r="B368" t="s">
        <v>1834</v>
      </c>
      <c r="C368" t="s">
        <v>1835</v>
      </c>
      <c r="D368" t="s">
        <v>1836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1837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  <c r="W368" t="s">
        <v>1833</v>
      </c>
      <c r="X368" t="str">
        <v>16-01-25</v>
      </c>
      <c r="Y368" t="str">
        <v>22-01-25</v>
      </c>
      <c r="Z368" t="s">
        <v>1836</v>
      </c>
      <c r="AA368" t="str">
        <v>Sneha Kapoor</v>
      </c>
      <c r="AB368" t="str">
        <f t="shared" si="51"/>
        <v>Corporate</v>
      </c>
      <c r="AC368" t="str">
        <f t="shared" si="52"/>
        <v>North</v>
      </c>
      <c r="AD368" t="str">
        <f t="shared" si="53"/>
        <v>Rajasthan</v>
      </c>
      <c r="AE368" t="str">
        <f t="shared" si="54"/>
        <v>Jaipur</v>
      </c>
      <c r="AF368" t="str">
        <f t="shared" si="55"/>
        <v>Furniture</v>
      </c>
      <c r="AG368" t="str">
        <f t="shared" si="56"/>
        <v>Tables</v>
      </c>
      <c r="AH368" t="str">
        <f t="shared" si="57"/>
        <v>Max Tables 478</v>
      </c>
      <c r="AI368" t="str">
        <f t="shared" si="58"/>
        <v>Same Day</v>
      </c>
      <c r="AJ368" s="3" t="str">
        <f t="shared" si="59"/>
        <v>anomaly</v>
      </c>
      <c r="AK368">
        <f t="shared" si="60"/>
        <v>6</v>
      </c>
    </row>
    <row r="369" spans="1:37">
      <c r="A369" t="s">
        <v>1838</v>
      </c>
      <c r="B369" t="s">
        <v>977</v>
      </c>
      <c r="C369" t="s">
        <v>1839</v>
      </c>
      <c r="D369" t="s">
        <v>1840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1841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  <c r="W369" t="s">
        <v>1838</v>
      </c>
      <c r="X369" t="str">
        <v>15-03-24</v>
      </c>
      <c r="Y369" t="str">
        <v>invalid date</v>
      </c>
      <c r="Z369" t="s">
        <v>1840</v>
      </c>
      <c r="AA369" t="str">
        <v>Rohan Mehta</v>
      </c>
      <c r="AB369" t="str">
        <f t="shared" si="51"/>
        <v>Consumer</v>
      </c>
      <c r="AC369" t="str">
        <f t="shared" si="52"/>
        <v>North</v>
      </c>
      <c r="AD369" t="str">
        <f t="shared" si="53"/>
        <v>Delhi</v>
      </c>
      <c r="AE369" t="str">
        <f t="shared" si="54"/>
        <v>New Delhi</v>
      </c>
      <c r="AF369" t="str">
        <f t="shared" si="55"/>
        <v>Office Supplies</v>
      </c>
      <c r="AG369" t="str">
        <f t="shared" si="56"/>
        <v>Art</v>
      </c>
      <c r="AH369" t="str">
        <f t="shared" si="57"/>
        <v>Eco Art 646</v>
      </c>
      <c r="AI369" t="str">
        <f t="shared" si="58"/>
        <v>Standard Class</v>
      </c>
      <c r="AJ369" s="3" t="str">
        <f t="shared" si="59"/>
        <v>Invalid</v>
      </c>
      <c r="AK369" t="str">
        <f t="shared" si="60"/>
        <v>invalid date</v>
      </c>
    </row>
    <row r="370" spans="1:37">
      <c r="A370" t="s">
        <v>1842</v>
      </c>
      <c r="B370" t="s">
        <v>1270</v>
      </c>
      <c r="C370" t="s">
        <v>1270</v>
      </c>
      <c r="D370" t="s">
        <v>1843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1844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  <c r="W370" t="s">
        <v>1842</v>
      </c>
      <c r="X370" t="str">
        <v>06-07-25</v>
      </c>
      <c r="Y370" t="str">
        <v>06-07-25</v>
      </c>
      <c r="Z370" t="s">
        <v>1843</v>
      </c>
      <c r="AA370" t="str">
        <v>Aarav Sharma</v>
      </c>
      <c r="AB370" t="str">
        <f t="shared" si="51"/>
        <v>Home Office</v>
      </c>
      <c r="AC370" t="str">
        <f t="shared" si="52"/>
        <v>North</v>
      </c>
      <c r="AD370" t="str">
        <f t="shared" si="53"/>
        <v>Rajasthan</v>
      </c>
      <c r="AE370" t="str">
        <f t="shared" si="54"/>
        <v>Jaipur</v>
      </c>
      <c r="AF370" t="str">
        <f t="shared" si="55"/>
        <v>Technology</v>
      </c>
      <c r="AG370" t="str">
        <f t="shared" si="56"/>
        <v>Accessories</v>
      </c>
      <c r="AH370" t="str">
        <f t="shared" si="57"/>
        <v>Prime Accessories 962</v>
      </c>
      <c r="AI370" t="str">
        <f t="shared" si="58"/>
        <v>Same Day</v>
      </c>
      <c r="AJ370" s="3" t="str">
        <f t="shared" si="59"/>
        <v xml:space="preserve">  </v>
      </c>
      <c r="AK370">
        <f t="shared" si="60"/>
        <v>0</v>
      </c>
    </row>
    <row r="371" spans="1:37">
      <c r="A371" t="s">
        <v>1845</v>
      </c>
      <c r="B371" t="s">
        <v>1529</v>
      </c>
      <c r="C371" t="s">
        <v>191</v>
      </c>
      <c r="D371" t="s">
        <v>1846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1847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  <c r="W371" t="s">
        <v>1845</v>
      </c>
      <c r="X371" t="str">
        <v>23-01-25</v>
      </c>
      <c r="Y371" t="str">
        <v>invalid date</v>
      </c>
      <c r="Z371" t="s">
        <v>1846</v>
      </c>
      <c r="AA371" t="str">
        <v>Priya Menon</v>
      </c>
      <c r="AB371" t="str">
        <f t="shared" si="51"/>
        <v>Consumer</v>
      </c>
      <c r="AC371" t="str">
        <f t="shared" si="52"/>
        <v>North</v>
      </c>
      <c r="AD371" t="str">
        <f t="shared" si="53"/>
        <v>Delhi</v>
      </c>
      <c r="AE371" t="str">
        <f t="shared" si="54"/>
        <v>New Delhi</v>
      </c>
      <c r="AF371" t="str">
        <f t="shared" si="55"/>
        <v>Office Supplies</v>
      </c>
      <c r="AG371" t="str">
        <f t="shared" si="56"/>
        <v>Labels</v>
      </c>
      <c r="AH371" t="str">
        <f t="shared" si="57"/>
        <v>Eco Labels 646</v>
      </c>
      <c r="AI371" t="str">
        <f t="shared" si="58"/>
        <v>Standard Class</v>
      </c>
      <c r="AJ371" s="3" t="str">
        <f t="shared" si="59"/>
        <v>Invalid</v>
      </c>
      <c r="AK371" t="str">
        <f t="shared" si="60"/>
        <v>invalid date</v>
      </c>
    </row>
    <row r="372" spans="1:37">
      <c r="A372" t="s">
        <v>1848</v>
      </c>
      <c r="B372" t="s">
        <v>1849</v>
      </c>
      <c r="C372" t="s">
        <v>1624</v>
      </c>
      <c r="D372" t="s">
        <v>1850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1851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  <c r="W372" t="s">
        <v>1848</v>
      </c>
      <c r="X372" t="str">
        <v>invalid date</v>
      </c>
      <c r="Y372" t="str">
        <v>21-08-24</v>
      </c>
      <c r="Z372" t="s">
        <v>1850</v>
      </c>
      <c r="AA372" t="str">
        <v>Ananya Rao</v>
      </c>
      <c r="AB372" t="str">
        <f t="shared" si="51"/>
        <v>Small Business</v>
      </c>
      <c r="AC372" t="str">
        <f t="shared" si="52"/>
        <v>West</v>
      </c>
      <c r="AD372" t="str">
        <f t="shared" si="53"/>
        <v>Rajasthan</v>
      </c>
      <c r="AE372" t="str">
        <f t="shared" si="54"/>
        <v>Udaipur</v>
      </c>
      <c r="AF372" t="str">
        <f t="shared" si="55"/>
        <v>Technology</v>
      </c>
      <c r="AG372" t="str">
        <f t="shared" si="56"/>
        <v>Copiers</v>
      </c>
      <c r="AH372" t="str">
        <f t="shared" si="57"/>
        <v>Classic Copiers 505</v>
      </c>
      <c r="AI372" t="str">
        <f t="shared" si="58"/>
        <v>First Class</v>
      </c>
      <c r="AJ372" s="3" t="str">
        <f t="shared" si="59"/>
        <v>Invalid</v>
      </c>
      <c r="AK372" t="str">
        <f t="shared" si="60"/>
        <v>invalid date</v>
      </c>
    </row>
    <row r="373" spans="1:37">
      <c r="A373" t="s">
        <v>1852</v>
      </c>
      <c r="B373" t="s">
        <v>1057</v>
      </c>
      <c r="C373" t="s">
        <v>1853</v>
      </c>
      <c r="D373" t="s">
        <v>1854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1855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  <c r="W373" t="s">
        <v>1852</v>
      </c>
      <c r="X373" t="str">
        <v>22-01-24</v>
      </c>
      <c r="Y373" t="str">
        <v>24-01-24</v>
      </c>
      <c r="Z373" t="s">
        <v>1854</v>
      </c>
      <c r="AA373" t="str">
        <v>Diya Patel</v>
      </c>
      <c r="AB373" t="str">
        <f t="shared" si="51"/>
        <v>Home Office</v>
      </c>
      <c r="AC373" t="str">
        <f t="shared" si="52"/>
        <v>West</v>
      </c>
      <c r="AD373" t="str">
        <f t="shared" si="53"/>
        <v>Maharashtra</v>
      </c>
      <c r="AE373" t="str">
        <f t="shared" si="54"/>
        <v>Mumbai</v>
      </c>
      <c r="AF373" t="str">
        <f t="shared" si="55"/>
        <v>Office Supplies</v>
      </c>
      <c r="AG373" t="str">
        <f t="shared" si="56"/>
        <v>Art</v>
      </c>
      <c r="AH373" t="str">
        <f t="shared" si="57"/>
        <v>Pro Art 906</v>
      </c>
      <c r="AI373" t="str">
        <f t="shared" si="58"/>
        <v>Standard Class</v>
      </c>
      <c r="AJ373" s="3" t="str">
        <f t="shared" si="59"/>
        <v>anomaly</v>
      </c>
      <c r="AK373">
        <f t="shared" si="60"/>
        <v>2</v>
      </c>
    </row>
    <row r="374" spans="1:37">
      <c r="A374" t="s">
        <v>1856</v>
      </c>
      <c r="B374" t="s">
        <v>1857</v>
      </c>
      <c r="C374" t="s">
        <v>920</v>
      </c>
      <c r="D374" t="s">
        <v>969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1858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  <c r="W374" t="s">
        <v>1856</v>
      </c>
      <c r="X374" t="str">
        <v>16-08-25</v>
      </c>
      <c r="Y374" t="str">
        <v>18-08-25</v>
      </c>
      <c r="Z374" t="s">
        <v>969</v>
      </c>
      <c r="AA374" t="str">
        <v>Kabir Singh</v>
      </c>
      <c r="AB374" t="str">
        <f t="shared" si="51"/>
        <v>Consumer</v>
      </c>
      <c r="AC374" t="str">
        <f t="shared" si="52"/>
        <v>East</v>
      </c>
      <c r="AD374" t="str">
        <f t="shared" si="53"/>
        <v>Jharkhand</v>
      </c>
      <c r="AE374" t="str">
        <f t="shared" si="54"/>
        <v>Ranchi</v>
      </c>
      <c r="AF374" t="str">
        <f t="shared" si="55"/>
        <v>Furniture</v>
      </c>
      <c r="AG374" t="str">
        <f t="shared" si="56"/>
        <v>Chairs</v>
      </c>
      <c r="AH374" t="str">
        <f t="shared" si="57"/>
        <v>Max Chairs 181</v>
      </c>
      <c r="AI374" t="str">
        <f t="shared" si="58"/>
        <v>Same Day</v>
      </c>
      <c r="AJ374" s="3" t="str">
        <f t="shared" si="59"/>
        <v>anomaly</v>
      </c>
      <c r="AK374">
        <f t="shared" si="60"/>
        <v>2</v>
      </c>
    </row>
    <row r="375" spans="1:37">
      <c r="A375" t="s">
        <v>1859</v>
      </c>
      <c r="B375" t="s">
        <v>1860</v>
      </c>
      <c r="C375" t="s">
        <v>1860</v>
      </c>
      <c r="D375" t="s">
        <v>1861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1862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  <c r="W375" t="s">
        <v>1859</v>
      </c>
      <c r="X375" t="str">
        <v>13-04-25</v>
      </c>
      <c r="Y375" t="str">
        <v>13-04-25</v>
      </c>
      <c r="Z375" t="s">
        <v>1861</v>
      </c>
      <c r="AA375" t="str">
        <v>Sneha Kapoor</v>
      </c>
      <c r="AB375" t="str">
        <f t="shared" si="51"/>
        <v>Small Business</v>
      </c>
      <c r="AC375" t="str">
        <f t="shared" si="52"/>
        <v>North</v>
      </c>
      <c r="AD375" t="str">
        <f t="shared" si="53"/>
        <v>Uttar Pradesh</v>
      </c>
      <c r="AE375" t="str">
        <f t="shared" si="54"/>
        <v>Noida</v>
      </c>
      <c r="AF375" t="str">
        <f t="shared" si="55"/>
        <v>Office Supplies</v>
      </c>
      <c r="AG375" t="str">
        <f t="shared" si="56"/>
        <v>Storage</v>
      </c>
      <c r="AH375" t="str">
        <f t="shared" si="57"/>
        <v>Prime Storage 951</v>
      </c>
      <c r="AI375" t="str">
        <f t="shared" si="58"/>
        <v>Second Class</v>
      </c>
      <c r="AJ375" s="3" t="str">
        <f t="shared" si="59"/>
        <v xml:space="preserve">  </v>
      </c>
      <c r="AK375">
        <f t="shared" si="60"/>
        <v>0</v>
      </c>
    </row>
    <row r="376" spans="1:37">
      <c r="A376" t="s">
        <v>1863</v>
      </c>
      <c r="B376" t="s">
        <v>1864</v>
      </c>
      <c r="C376" t="s">
        <v>1865</v>
      </c>
      <c r="D376" t="s">
        <v>1866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1867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  <c r="W376" t="s">
        <v>1863</v>
      </c>
      <c r="X376" t="str">
        <v>27-02-25</v>
      </c>
      <c r="Y376" t="str">
        <v>28-02-25</v>
      </c>
      <c r="Z376" t="s">
        <v>1866</v>
      </c>
      <c r="AA376" t="str">
        <v>Aditi Sen</v>
      </c>
      <c r="AB376" t="str">
        <f t="shared" si="51"/>
        <v>Small Business</v>
      </c>
      <c r="AC376" t="str">
        <f t="shared" si="52"/>
        <v>North</v>
      </c>
      <c r="AD376" t="str">
        <f t="shared" si="53"/>
        <v>Uttar Pradesh</v>
      </c>
      <c r="AE376" t="str">
        <f t="shared" si="54"/>
        <v>Noida</v>
      </c>
      <c r="AF376" t="str">
        <f t="shared" si="55"/>
        <v>Office Supplies</v>
      </c>
      <c r="AG376" t="str">
        <f t="shared" si="56"/>
        <v>Labels</v>
      </c>
      <c r="AH376" t="str">
        <f t="shared" si="57"/>
        <v>Smart Labels 668</v>
      </c>
      <c r="AI376" t="str">
        <f t="shared" si="58"/>
        <v>Standard Class</v>
      </c>
      <c r="AJ376" s="3" t="str">
        <f t="shared" si="59"/>
        <v>anomaly</v>
      </c>
      <c r="AK376">
        <f t="shared" si="60"/>
        <v>1</v>
      </c>
    </row>
    <row r="377" spans="1:37">
      <c r="A377" t="s">
        <v>1868</v>
      </c>
      <c r="B377" t="s">
        <v>1869</v>
      </c>
      <c r="C377" t="s">
        <v>1870</v>
      </c>
      <c r="D377" t="s">
        <v>1871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1872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  <c r="W377" t="s">
        <v>1868</v>
      </c>
      <c r="X377" t="str">
        <v>31-12-24</v>
      </c>
      <c r="Y377" t="str">
        <v>04-01-25</v>
      </c>
      <c r="Z377" t="s">
        <v>1871</v>
      </c>
      <c r="AA377" t="str">
        <v>Vikram Iyer</v>
      </c>
      <c r="AB377" t="str">
        <f t="shared" si="51"/>
        <v>Consumer</v>
      </c>
      <c r="AC377" t="str">
        <f t="shared" si="52"/>
        <v>North</v>
      </c>
      <c r="AD377" t="str">
        <f t="shared" si="53"/>
        <v>Delhi</v>
      </c>
      <c r="AE377" t="str">
        <f t="shared" si="54"/>
        <v>New Delhi</v>
      </c>
      <c r="AF377" t="str">
        <f t="shared" si="55"/>
        <v>Furniture</v>
      </c>
      <c r="AG377" t="str">
        <f t="shared" si="56"/>
        <v>Chairs</v>
      </c>
      <c r="AH377" t="str">
        <f t="shared" si="57"/>
        <v>Pro Chairs 364</v>
      </c>
      <c r="AI377" t="str">
        <f t="shared" si="58"/>
        <v>Same Day</v>
      </c>
      <c r="AJ377" s="3" t="str">
        <f t="shared" si="59"/>
        <v xml:space="preserve">  </v>
      </c>
      <c r="AK377">
        <f t="shared" si="60"/>
        <v>4</v>
      </c>
    </row>
    <row r="378" spans="1:37">
      <c r="A378" t="s">
        <v>1873</v>
      </c>
      <c r="B378" t="s">
        <v>1874</v>
      </c>
      <c r="C378" t="s">
        <v>1777</v>
      </c>
      <c r="D378" t="s">
        <v>1875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1876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  <c r="W378" t="s">
        <v>1873</v>
      </c>
      <c r="X378" t="str">
        <v>29-12-24</v>
      </c>
      <c r="Y378" t="str">
        <v>31-12-24</v>
      </c>
      <c r="Z378" t="s">
        <v>1875</v>
      </c>
      <c r="AA378" t="str">
        <v>Isha Nair</v>
      </c>
      <c r="AB378" t="str">
        <f t="shared" si="51"/>
        <v>Small Business</v>
      </c>
      <c r="AC378" t="str">
        <f t="shared" si="52"/>
        <v>East</v>
      </c>
      <c r="AD378" t="str">
        <f t="shared" si="53"/>
        <v>Bihar</v>
      </c>
      <c r="AE378" t="str">
        <f t="shared" si="54"/>
        <v>Patna</v>
      </c>
      <c r="AF378" t="str">
        <f t="shared" si="55"/>
        <v>Furniture</v>
      </c>
      <c r="AG378" t="str">
        <f t="shared" si="56"/>
        <v>Chairs</v>
      </c>
      <c r="AH378" t="str">
        <f t="shared" si="57"/>
        <v>Basic Chairs 248</v>
      </c>
      <c r="AI378" t="str">
        <f t="shared" si="58"/>
        <v>First Class</v>
      </c>
      <c r="AJ378" s="3" t="str">
        <f t="shared" si="59"/>
        <v>anomaly</v>
      </c>
      <c r="AK378">
        <f t="shared" si="60"/>
        <v>2</v>
      </c>
    </row>
    <row r="379" spans="1:37">
      <c r="A379" t="s">
        <v>1877</v>
      </c>
      <c r="B379" t="s">
        <v>1519</v>
      </c>
      <c r="C379" t="s">
        <v>1878</v>
      </c>
      <c r="D379" t="s">
        <v>1879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1880</v>
      </c>
      <c r="L379" t="s">
        <v>1881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  <c r="W379" t="s">
        <v>1877</v>
      </c>
      <c r="X379" t="str">
        <v>24-05-25</v>
      </c>
      <c r="Y379" t="str">
        <v>30-05-25</v>
      </c>
      <c r="Z379" t="s">
        <v>1879</v>
      </c>
      <c r="AA379" t="str">
        <v>Kabir Singh</v>
      </c>
      <c r="AB379" t="str">
        <f t="shared" si="51"/>
        <v>Small Business</v>
      </c>
      <c r="AC379" t="str">
        <f t="shared" si="52"/>
        <v>East</v>
      </c>
      <c r="AD379" t="str">
        <f t="shared" si="53"/>
        <v>Odisha</v>
      </c>
      <c r="AE379" t="str">
        <f t="shared" si="54"/>
        <v>Bhubaneswar</v>
      </c>
      <c r="AF379" t="str">
        <f t="shared" si="55"/>
        <v>Office Supplies</v>
      </c>
      <c r="AG379" t="str">
        <f t="shared" si="56"/>
        <v>Storage</v>
      </c>
      <c r="AH379" t="str">
        <f t="shared" si="57"/>
        <v>Basic Storage 360</v>
      </c>
      <c r="AI379" t="str">
        <f t="shared" si="58"/>
        <v>Same Day</v>
      </c>
      <c r="AJ379" s="3" t="str">
        <f t="shared" si="59"/>
        <v>anomaly</v>
      </c>
      <c r="AK379">
        <f t="shared" si="60"/>
        <v>6</v>
      </c>
    </row>
    <row r="380" spans="1:37">
      <c r="A380" t="s">
        <v>1882</v>
      </c>
      <c r="B380" t="s">
        <v>1883</v>
      </c>
      <c r="C380" t="s">
        <v>1883</v>
      </c>
      <c r="D380" t="s">
        <v>1884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1885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  <c r="W380" t="s">
        <v>1882</v>
      </c>
      <c r="X380" t="str">
        <v>22-05-25</v>
      </c>
      <c r="Y380" t="str">
        <v>22-05-25</v>
      </c>
      <c r="Z380" t="s">
        <v>1884</v>
      </c>
      <c r="AA380" t="str">
        <v>Mira Das</v>
      </c>
      <c r="AB380" t="str">
        <f t="shared" si="51"/>
        <v>Consumer</v>
      </c>
      <c r="AC380" t="str">
        <f t="shared" si="52"/>
        <v>West</v>
      </c>
      <c r="AD380" t="str">
        <f t="shared" si="53"/>
        <v>Goa</v>
      </c>
      <c r="AE380" t="str">
        <f t="shared" si="54"/>
        <v>Panaji</v>
      </c>
      <c r="AF380" t="str">
        <f t="shared" si="55"/>
        <v>Technology</v>
      </c>
      <c r="AG380" t="str">
        <f t="shared" si="56"/>
        <v>Accessories</v>
      </c>
      <c r="AH380" t="str">
        <f t="shared" si="57"/>
        <v>Basic Accessories 988</v>
      </c>
      <c r="AI380" t="str">
        <f t="shared" si="58"/>
        <v>Standard Class</v>
      </c>
      <c r="AJ380" s="3" t="str">
        <f t="shared" si="59"/>
        <v xml:space="preserve">  </v>
      </c>
      <c r="AK380">
        <f t="shared" si="60"/>
        <v>0</v>
      </c>
    </row>
    <row r="381" spans="1:37">
      <c r="A381" t="s">
        <v>1886</v>
      </c>
      <c r="B381" t="s">
        <v>1887</v>
      </c>
      <c r="C381" t="s">
        <v>1888</v>
      </c>
      <c r="D381" t="s">
        <v>1889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1890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  <c r="W381" t="s">
        <v>1886</v>
      </c>
      <c r="X381" t="str">
        <v>invalid date</v>
      </c>
      <c r="Y381" t="str">
        <v>23-09-24</v>
      </c>
      <c r="Z381" t="s">
        <v>1889</v>
      </c>
      <c r="AA381" t="str">
        <v>Mira Das</v>
      </c>
      <c r="AB381" t="str">
        <f t="shared" si="51"/>
        <v>Small Business</v>
      </c>
      <c r="AC381" t="str">
        <f t="shared" si="52"/>
        <v>South</v>
      </c>
      <c r="AD381" t="str">
        <f t="shared" si="53"/>
        <v>Kerala</v>
      </c>
      <c r="AE381" t="str">
        <f t="shared" si="54"/>
        <v>Kochi</v>
      </c>
      <c r="AF381" t="str">
        <f t="shared" si="55"/>
        <v>Office Supplies</v>
      </c>
      <c r="AG381" t="str">
        <f t="shared" si="56"/>
        <v>Paper</v>
      </c>
      <c r="AH381" t="str">
        <f t="shared" si="57"/>
        <v>Max Paper 334</v>
      </c>
      <c r="AI381" t="str">
        <f t="shared" si="58"/>
        <v>Standard Class</v>
      </c>
      <c r="AJ381" s="3" t="str">
        <f t="shared" si="59"/>
        <v>Invalid</v>
      </c>
      <c r="AK381" t="str">
        <f t="shared" si="60"/>
        <v>invalid date</v>
      </c>
    </row>
    <row r="382" spans="1:37">
      <c r="A382" t="s">
        <v>1891</v>
      </c>
      <c r="B382" t="s">
        <v>1892</v>
      </c>
      <c r="C382" t="s">
        <v>1418</v>
      </c>
      <c r="D382" t="s">
        <v>1893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1894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  <c r="W382" t="s">
        <v>1891</v>
      </c>
      <c r="X382" t="str">
        <v>07-04-24</v>
      </c>
      <c r="Y382" t="str">
        <v>14-04-24</v>
      </c>
      <c r="Z382" t="s">
        <v>1893</v>
      </c>
      <c r="AA382" t="str">
        <v>Vikram Iyer</v>
      </c>
      <c r="AB382" t="str">
        <f t="shared" si="51"/>
        <v>Consumer</v>
      </c>
      <c r="AC382" t="str">
        <f t="shared" si="52"/>
        <v>West</v>
      </c>
      <c r="AD382" t="str">
        <f t="shared" si="53"/>
        <v>Maharashtra</v>
      </c>
      <c r="AE382" t="str">
        <f t="shared" si="54"/>
        <v>Mumbai</v>
      </c>
      <c r="AF382" t="str">
        <f t="shared" si="55"/>
        <v>Furniture</v>
      </c>
      <c r="AG382" t="str">
        <f t="shared" si="56"/>
        <v>Bookcases</v>
      </c>
      <c r="AH382" t="str">
        <f t="shared" si="57"/>
        <v>Prime Bookcases 952</v>
      </c>
      <c r="AI382" t="str">
        <f t="shared" si="58"/>
        <v>Same Day</v>
      </c>
      <c r="AJ382" s="3" t="str">
        <f t="shared" si="59"/>
        <v>anomaly</v>
      </c>
      <c r="AK382">
        <f t="shared" si="60"/>
        <v>7</v>
      </c>
    </row>
    <row r="383" spans="1:37">
      <c r="A383" t="s">
        <v>1895</v>
      </c>
      <c r="B383" t="s">
        <v>1896</v>
      </c>
      <c r="C383" t="s">
        <v>1897</v>
      </c>
      <c r="D383" t="s">
        <v>1898</v>
      </c>
      <c r="E383" t="s">
        <v>61</v>
      </c>
      <c r="F383" t="s">
        <v>1899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1900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  <c r="W383" t="s">
        <v>1895</v>
      </c>
      <c r="X383" t="str">
        <v>19-09-25</v>
      </c>
      <c r="Y383" t="str">
        <v>23-09-25</v>
      </c>
      <c r="Z383" t="s">
        <v>1898</v>
      </c>
      <c r="AA383" t="str">
        <v>Arjun Bose</v>
      </c>
      <c r="AB383" t="str">
        <f t="shared" si="51"/>
        <v>Home Office</v>
      </c>
      <c r="AC383" t="str">
        <f t="shared" si="52"/>
        <v>North</v>
      </c>
      <c r="AD383" t="str">
        <f t="shared" si="53"/>
        <v>Delhi</v>
      </c>
      <c r="AE383" t="str">
        <f t="shared" si="54"/>
        <v>New Delhi</v>
      </c>
      <c r="AF383" t="str">
        <f t="shared" si="55"/>
        <v>Office Supplies</v>
      </c>
      <c r="AG383" t="str">
        <f t="shared" si="56"/>
        <v>Binders</v>
      </c>
      <c r="AH383" t="str">
        <f t="shared" si="57"/>
        <v>Prime Binders 523</v>
      </c>
      <c r="AI383" t="str">
        <f t="shared" si="58"/>
        <v>Standard Class</v>
      </c>
      <c r="AJ383" s="3" t="str">
        <f t="shared" si="59"/>
        <v>anomaly</v>
      </c>
      <c r="AK383">
        <f t="shared" si="60"/>
        <v>4</v>
      </c>
    </row>
    <row r="384" spans="1:37">
      <c r="A384" t="s">
        <v>1901</v>
      </c>
      <c r="B384" t="s">
        <v>1902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1903</v>
      </c>
      <c r="K384" t="s">
        <v>223</v>
      </c>
      <c r="L384" t="s">
        <v>1904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  <c r="W384" t="s">
        <v>1901</v>
      </c>
      <c r="X384" t="str">
        <v>04-03-25</v>
      </c>
      <c r="Y384" t="str">
        <v>03-08-25</v>
      </c>
      <c r="Z384" t="s">
        <v>203</v>
      </c>
      <c r="AA384" t="str">
        <v>Arjun Bose</v>
      </c>
      <c r="AB384" t="str">
        <f t="shared" si="51"/>
        <v>Small Business</v>
      </c>
      <c r="AC384" t="str">
        <f t="shared" si="52"/>
        <v>East</v>
      </c>
      <c r="AD384" t="str">
        <f t="shared" si="53"/>
        <v>Bihar</v>
      </c>
      <c r="AE384" t="str">
        <f t="shared" si="54"/>
        <v>Patna</v>
      </c>
      <c r="AF384" t="str">
        <f t="shared" si="55"/>
        <v>Technology</v>
      </c>
      <c r="AG384" t="str">
        <f t="shared" si="56"/>
        <v>Phones</v>
      </c>
      <c r="AH384" t="str">
        <f t="shared" si="57"/>
        <v>Pro Phones 538</v>
      </c>
      <c r="AI384" t="str">
        <f t="shared" si="58"/>
        <v>First Class</v>
      </c>
      <c r="AJ384" s="3" t="str">
        <f t="shared" si="59"/>
        <v xml:space="preserve">  </v>
      </c>
      <c r="AK384">
        <f t="shared" si="60"/>
        <v>152</v>
      </c>
    </row>
    <row r="385" spans="1:37">
      <c r="A385" t="s">
        <v>1905</v>
      </c>
      <c r="B385" t="s">
        <v>1515</v>
      </c>
      <c r="C385" t="s">
        <v>1074</v>
      </c>
      <c r="D385" t="s">
        <v>1906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1907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  <c r="W385" t="s">
        <v>1905</v>
      </c>
      <c r="X385" t="str">
        <v>28-06-25</v>
      </c>
      <c r="Y385" t="str">
        <v>05-07-25</v>
      </c>
      <c r="Z385" t="s">
        <v>1906</v>
      </c>
      <c r="AA385" t="str">
        <v>Vikram Iyer</v>
      </c>
      <c r="AB385" t="str">
        <f t="shared" si="51"/>
        <v>Corporate</v>
      </c>
      <c r="AC385" t="str">
        <f t="shared" si="52"/>
        <v>East</v>
      </c>
      <c r="AD385" t="str">
        <f t="shared" si="53"/>
        <v>West Bengal</v>
      </c>
      <c r="AE385" t="str">
        <f t="shared" si="54"/>
        <v>Kolkata</v>
      </c>
      <c r="AF385" t="str">
        <f t="shared" si="55"/>
        <v>Office Supplies</v>
      </c>
      <c r="AG385" t="str">
        <f t="shared" si="56"/>
        <v>Art</v>
      </c>
      <c r="AH385" t="str">
        <f t="shared" si="57"/>
        <v>Basic Art 608</v>
      </c>
      <c r="AI385" t="str">
        <f t="shared" si="58"/>
        <v>First Class</v>
      </c>
      <c r="AJ385" s="3" t="str">
        <f t="shared" si="59"/>
        <v xml:space="preserve">  </v>
      </c>
      <c r="AK385">
        <f t="shared" si="60"/>
        <v>7</v>
      </c>
    </row>
    <row r="386" spans="1:37">
      <c r="A386" t="s">
        <v>1908</v>
      </c>
      <c r="B386" t="s">
        <v>1909</v>
      </c>
      <c r="C386" t="s">
        <v>1910</v>
      </c>
      <c r="D386" t="s">
        <v>1911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1912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  <c r="W386" t="s">
        <v>1908</v>
      </c>
      <c r="X386" t="str">
        <v>15-03-24</v>
      </c>
      <c r="Y386" t="str">
        <v>20-03-24</v>
      </c>
      <c r="Z386" t="s">
        <v>1911</v>
      </c>
      <c r="AA386" t="str">
        <v>Rohan Mehta</v>
      </c>
      <c r="AB386" t="str">
        <f t="shared" si="51"/>
        <v>Consumer</v>
      </c>
      <c r="AC386" t="str">
        <f t="shared" si="52"/>
        <v>East</v>
      </c>
      <c r="AD386" t="str">
        <f t="shared" si="53"/>
        <v>Jharkhand</v>
      </c>
      <c r="AE386" t="str">
        <f t="shared" si="54"/>
        <v>Ranchi</v>
      </c>
      <c r="AF386" t="str">
        <f t="shared" si="55"/>
        <v>Technology</v>
      </c>
      <c r="AG386" t="str">
        <f t="shared" si="56"/>
        <v>Copiers</v>
      </c>
      <c r="AH386" t="str">
        <f t="shared" si="57"/>
        <v>Prime Copiers 820</v>
      </c>
      <c r="AI386" t="str">
        <f t="shared" si="58"/>
        <v>Standard Class</v>
      </c>
      <c r="AJ386" s="3" t="str">
        <f t="shared" si="59"/>
        <v>anomaly</v>
      </c>
      <c r="AK386">
        <f t="shared" si="60"/>
        <v>5</v>
      </c>
    </row>
    <row r="387" spans="1:37">
      <c r="A387" t="s">
        <v>1913</v>
      </c>
      <c r="B387" t="s">
        <v>995</v>
      </c>
      <c r="C387" t="s">
        <v>1914</v>
      </c>
      <c r="D387" t="s">
        <v>1915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1916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  <c r="W387" t="s">
        <v>1913</v>
      </c>
      <c r="X387" t="str">
        <v>24-06-25</v>
      </c>
      <c r="Y387" t="str">
        <v>30-06-25</v>
      </c>
      <c r="Z387" t="s">
        <v>1915</v>
      </c>
      <c r="AA387" t="str">
        <v>Arjun Bose</v>
      </c>
      <c r="AB387" t="str">
        <f t="shared" ref="AB387:AB450" si="61">TRIM(PROPER(F:F))</f>
        <v>Consumer</v>
      </c>
      <c r="AC387" t="str">
        <f t="shared" ref="AC387:AC450" si="62">TRIM(PROPER(G:G))</f>
        <v>North</v>
      </c>
      <c r="AD387" t="str">
        <f t="shared" ref="AD387:AD450" si="63">TRIM(PROPER(H:H))</f>
        <v>Haryana</v>
      </c>
      <c r="AE387" t="str">
        <f t="shared" ref="AE387:AE450" si="64">TRIM(PROPER(I:I))</f>
        <v>Gurugram</v>
      </c>
      <c r="AF387" t="str">
        <f t="shared" ref="AF387:AF450" si="65">TRIM(PROPER(J:J))</f>
        <v>Office Supplies</v>
      </c>
      <c r="AG387" t="str">
        <f t="shared" ref="AG387:AG450" si="66">TRIM(PROPER(K:K))</f>
        <v>Labels</v>
      </c>
      <c r="AH387" t="str">
        <f t="shared" ref="AH387:AH450" si="67">TRIM(PROPER(L:L))</f>
        <v>Classic Labels 670</v>
      </c>
      <c r="AI387" t="str">
        <f t="shared" ref="AI387:AI450" si="68">TRIM(PROPER(M:M))</f>
        <v>Standard Class</v>
      </c>
      <c r="AJ387" s="3" t="str">
        <f t="shared" ref="AJ387:AJ450" si="69">IF(OR(X:X="Invalid Date",Y:Y="Invalid Date"),"Invalid",(IF(X:X&lt;Y:Y,"anomaly", "  ")))</f>
        <v>anomaly</v>
      </c>
      <c r="AK387">
        <f t="shared" ref="AK387:AK450" si="70">IFERROR(Y387-X387, "invalid date")</f>
        <v>6</v>
      </c>
    </row>
    <row r="388" spans="1:37">
      <c r="A388" t="s">
        <v>1917</v>
      </c>
      <c r="B388" t="s">
        <v>1395</v>
      </c>
      <c r="C388" t="s">
        <v>1918</v>
      </c>
      <c r="D388" t="s">
        <v>1919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1920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  <c r="W388" t="s">
        <v>1917</v>
      </c>
      <c r="X388" t="str">
        <v>02-12-25</v>
      </c>
      <c r="Y388" t="str">
        <v>14-02-25</v>
      </c>
      <c r="Z388" t="s">
        <v>1919</v>
      </c>
      <c r="AA388" t="str">
        <v>Sneha Kapoor</v>
      </c>
      <c r="AB388" t="str">
        <f t="shared" si="61"/>
        <v>Consumer</v>
      </c>
      <c r="AC388" t="str">
        <f t="shared" si="62"/>
        <v>West</v>
      </c>
      <c r="AD388" t="str">
        <f t="shared" si="63"/>
        <v>Maharashtra</v>
      </c>
      <c r="AE388" t="str">
        <f t="shared" si="64"/>
        <v>Mumbai</v>
      </c>
      <c r="AF388" t="str">
        <f t="shared" si="65"/>
        <v>Furniture</v>
      </c>
      <c r="AG388" t="str">
        <f t="shared" si="66"/>
        <v>Furnishings</v>
      </c>
      <c r="AH388" t="str">
        <f t="shared" si="67"/>
        <v>Prime Furnishings 597</v>
      </c>
      <c r="AI388" t="str">
        <f t="shared" si="68"/>
        <v>Second Class</v>
      </c>
      <c r="AJ388" s="3" t="str">
        <f t="shared" si="69"/>
        <v>anomaly</v>
      </c>
      <c r="AK388">
        <f t="shared" si="70"/>
        <v>-291</v>
      </c>
    </row>
    <row r="389" spans="1:37">
      <c r="A389" t="s">
        <v>1921</v>
      </c>
      <c r="B389" t="s">
        <v>943</v>
      </c>
      <c r="C389" t="s">
        <v>1117</v>
      </c>
      <c r="D389" t="s">
        <v>1922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1923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  <c r="W389" t="s">
        <v>1921</v>
      </c>
      <c r="X389" t="str">
        <v>10-08-25</v>
      </c>
      <c r="Y389" t="str">
        <v>invalid date</v>
      </c>
      <c r="Z389" t="s">
        <v>1922</v>
      </c>
      <c r="AA389" t="str">
        <v>Priya Menon</v>
      </c>
      <c r="AB389" t="str">
        <f t="shared" si="61"/>
        <v>Small Business</v>
      </c>
      <c r="AC389" t="str">
        <f t="shared" si="62"/>
        <v>West</v>
      </c>
      <c r="AD389" t="str">
        <f t="shared" si="63"/>
        <v>Madhya Pradesh</v>
      </c>
      <c r="AE389" t="str">
        <f t="shared" si="64"/>
        <v>Indore</v>
      </c>
      <c r="AF389" t="str">
        <f t="shared" si="65"/>
        <v>Furniture</v>
      </c>
      <c r="AG389" t="str">
        <f t="shared" si="66"/>
        <v>Chairs</v>
      </c>
      <c r="AH389" t="str">
        <f t="shared" si="67"/>
        <v>Prime Chairs 196</v>
      </c>
      <c r="AI389" t="str">
        <f t="shared" si="68"/>
        <v>Standard Class</v>
      </c>
      <c r="AJ389" s="3" t="str">
        <f t="shared" si="69"/>
        <v>Invalid</v>
      </c>
      <c r="AK389" t="str">
        <f t="shared" si="70"/>
        <v>invalid date</v>
      </c>
    </row>
    <row r="390" spans="1:37">
      <c r="A390" t="s">
        <v>1924</v>
      </c>
      <c r="B390" t="s">
        <v>1925</v>
      </c>
      <c r="C390" t="s">
        <v>1926</v>
      </c>
      <c r="D390" t="s">
        <v>1927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1928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  <c r="W390" t="s">
        <v>1924</v>
      </c>
      <c r="X390" t="str">
        <v>13-05-24</v>
      </c>
      <c r="Y390" t="str">
        <v>18-05-24</v>
      </c>
      <c r="Z390" t="s">
        <v>1927</v>
      </c>
      <c r="AA390" t="str">
        <v>Isha Nair</v>
      </c>
      <c r="AB390" t="str">
        <f t="shared" si="61"/>
        <v>Small Business</v>
      </c>
      <c r="AC390" t="str">
        <f t="shared" si="62"/>
        <v>West</v>
      </c>
      <c r="AD390" t="str">
        <f t="shared" si="63"/>
        <v>Gujarat</v>
      </c>
      <c r="AE390" t="str">
        <f t="shared" si="64"/>
        <v>Ahmedabad</v>
      </c>
      <c r="AF390" t="str">
        <f t="shared" si="65"/>
        <v>Furniture</v>
      </c>
      <c r="AG390" t="str">
        <f t="shared" si="66"/>
        <v>Chairs</v>
      </c>
      <c r="AH390" t="str">
        <f t="shared" si="67"/>
        <v>Elite Chairs 639</v>
      </c>
      <c r="AI390" t="str">
        <f t="shared" si="68"/>
        <v>Standard Class</v>
      </c>
      <c r="AJ390" s="3" t="str">
        <f t="shared" si="69"/>
        <v>anomaly</v>
      </c>
      <c r="AK390">
        <f t="shared" si="70"/>
        <v>5</v>
      </c>
    </row>
    <row r="391" spans="1:37">
      <c r="A391" t="s">
        <v>1929</v>
      </c>
      <c r="B391" t="s">
        <v>1930</v>
      </c>
      <c r="C391" t="s">
        <v>349</v>
      </c>
      <c r="D391" t="s">
        <v>1931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1932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  <c r="W391" t="s">
        <v>1929</v>
      </c>
      <c r="X391" t="str">
        <v>05-04-24</v>
      </c>
      <c r="Y391" t="str">
        <v>13-04-24</v>
      </c>
      <c r="Z391" t="s">
        <v>1931</v>
      </c>
      <c r="AA391" t="str">
        <v>Diya Patel</v>
      </c>
      <c r="AB391" t="str">
        <f t="shared" si="61"/>
        <v>Corporate</v>
      </c>
      <c r="AC391" t="str">
        <f t="shared" si="62"/>
        <v>West</v>
      </c>
      <c r="AD391" t="str">
        <f t="shared" si="63"/>
        <v>Gujarat</v>
      </c>
      <c r="AE391" t="str">
        <f t="shared" si="64"/>
        <v>Ahmedabad</v>
      </c>
      <c r="AF391" t="str">
        <f t="shared" si="65"/>
        <v>Technology</v>
      </c>
      <c r="AG391" t="str">
        <f t="shared" si="66"/>
        <v>Machines</v>
      </c>
      <c r="AH391" t="str">
        <f t="shared" si="67"/>
        <v>Elite Machines 563</v>
      </c>
      <c r="AI391" t="str">
        <f t="shared" si="68"/>
        <v>Second Class</v>
      </c>
      <c r="AJ391" s="3" t="str">
        <f t="shared" si="69"/>
        <v>anomaly</v>
      </c>
      <c r="AK391">
        <f t="shared" si="70"/>
        <v>8</v>
      </c>
    </row>
    <row r="392" spans="1:37">
      <c r="A392" t="s">
        <v>1933</v>
      </c>
      <c r="B392" t="s">
        <v>1934</v>
      </c>
      <c r="C392" t="s">
        <v>484</v>
      </c>
      <c r="D392" t="s">
        <v>1935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1936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  <c r="W392" t="s">
        <v>1933</v>
      </c>
      <c r="X392" t="str">
        <v>06-11-24</v>
      </c>
      <c r="Y392" t="str">
        <v>11-11-24</v>
      </c>
      <c r="Z392" t="s">
        <v>1935</v>
      </c>
      <c r="AA392" t="str">
        <v>Isha Nair</v>
      </c>
      <c r="AB392" t="str">
        <f t="shared" si="61"/>
        <v>Consumer</v>
      </c>
      <c r="AC392" t="str">
        <f t="shared" si="62"/>
        <v>West</v>
      </c>
      <c r="AD392" t="str">
        <f t="shared" si="63"/>
        <v>Gujarat</v>
      </c>
      <c r="AE392" t="str">
        <f t="shared" si="64"/>
        <v>Ahmedabad</v>
      </c>
      <c r="AF392" t="str">
        <f t="shared" si="65"/>
        <v>Furniture</v>
      </c>
      <c r="AG392" t="str">
        <f t="shared" si="66"/>
        <v>Furnishings</v>
      </c>
      <c r="AH392" t="str">
        <f t="shared" si="67"/>
        <v>Pro Furnishings 281</v>
      </c>
      <c r="AI392" t="str">
        <f t="shared" si="68"/>
        <v>Standard Class</v>
      </c>
      <c r="AJ392" s="3" t="str">
        <f t="shared" si="69"/>
        <v>anomaly</v>
      </c>
      <c r="AK392">
        <f t="shared" si="70"/>
        <v>5</v>
      </c>
    </row>
    <row r="393" spans="1:37">
      <c r="A393" t="s">
        <v>1937</v>
      </c>
      <c r="B393" t="s">
        <v>1918</v>
      </c>
      <c r="C393" t="s">
        <v>1938</v>
      </c>
      <c r="D393" t="s">
        <v>1939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1940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  <c r="W393" t="s">
        <v>1937</v>
      </c>
      <c r="X393" t="str">
        <v>14-02-25</v>
      </c>
      <c r="Y393" t="str">
        <v>14-02-25</v>
      </c>
      <c r="Z393" t="s">
        <v>1939</v>
      </c>
      <c r="AA393" t="str">
        <v>Diya Patel</v>
      </c>
      <c r="AB393" t="str">
        <f t="shared" si="61"/>
        <v>Consumer</v>
      </c>
      <c r="AC393" t="str">
        <f t="shared" si="62"/>
        <v>South</v>
      </c>
      <c r="AD393" t="str">
        <f t="shared" si="63"/>
        <v>Karnataka</v>
      </c>
      <c r="AE393" t="str">
        <f t="shared" si="64"/>
        <v>Bengaluru</v>
      </c>
      <c r="AF393" t="str">
        <f t="shared" si="65"/>
        <v>Office Supplies</v>
      </c>
      <c r="AG393" t="str">
        <f t="shared" si="66"/>
        <v>Storage</v>
      </c>
      <c r="AH393" t="str">
        <f t="shared" si="67"/>
        <v>Eco Storage 285</v>
      </c>
      <c r="AI393" t="str">
        <f t="shared" si="68"/>
        <v>First Class</v>
      </c>
      <c r="AJ393" s="3" t="str">
        <f t="shared" si="69"/>
        <v xml:space="preserve">  </v>
      </c>
      <c r="AK393">
        <f t="shared" si="70"/>
        <v>0</v>
      </c>
    </row>
    <row r="394" spans="1:37">
      <c r="A394" t="s">
        <v>1941</v>
      </c>
      <c r="B394" t="s">
        <v>1942</v>
      </c>
      <c r="C394" t="s">
        <v>1943</v>
      </c>
      <c r="D394" t="s">
        <v>1944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1945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  <c r="W394" t="s">
        <v>1941</v>
      </c>
      <c r="X394" t="str">
        <v>invalid date</v>
      </c>
      <c r="Y394" t="str">
        <v>22-02-24</v>
      </c>
      <c r="Z394" t="s">
        <v>1944</v>
      </c>
      <c r="AA394" t="str">
        <v>Aditi Sen</v>
      </c>
      <c r="AB394" t="str">
        <f t="shared" si="61"/>
        <v>Small Business</v>
      </c>
      <c r="AC394" t="str">
        <f t="shared" si="62"/>
        <v>South</v>
      </c>
      <c r="AD394" t="str">
        <f t="shared" si="63"/>
        <v>Kerala</v>
      </c>
      <c r="AE394" t="str">
        <f t="shared" si="64"/>
        <v>Kochi</v>
      </c>
      <c r="AF394" t="str">
        <f t="shared" si="65"/>
        <v>Furniture</v>
      </c>
      <c r="AG394" t="str">
        <f t="shared" si="66"/>
        <v>Furnishings</v>
      </c>
      <c r="AH394" t="str">
        <f t="shared" si="67"/>
        <v>Classic Furnishings 746</v>
      </c>
      <c r="AI394" t="str">
        <f t="shared" si="68"/>
        <v>Same Day</v>
      </c>
      <c r="AJ394" s="3" t="str">
        <f t="shared" si="69"/>
        <v>Invalid</v>
      </c>
      <c r="AK394" t="str">
        <f t="shared" si="70"/>
        <v>invalid date</v>
      </c>
    </row>
    <row r="395" spans="1:37">
      <c r="A395" t="s">
        <v>1946</v>
      </c>
      <c r="B395" t="s">
        <v>1947</v>
      </c>
      <c r="C395" t="s">
        <v>1948</v>
      </c>
      <c r="D395" t="s">
        <v>1949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1950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  <c r="W395" t="s">
        <v>1946</v>
      </c>
      <c r="X395" t="str">
        <v>23-08-24</v>
      </c>
      <c r="Y395" t="str">
        <v>invalid date</v>
      </c>
      <c r="Z395" t="s">
        <v>1949</v>
      </c>
      <c r="AA395" t="str">
        <v>Mira Das</v>
      </c>
      <c r="AB395" t="str">
        <f t="shared" si="61"/>
        <v>Corporate</v>
      </c>
      <c r="AC395" t="str">
        <f t="shared" si="62"/>
        <v>North</v>
      </c>
      <c r="AD395" t="str">
        <f t="shared" si="63"/>
        <v>Uttar Pradesh</v>
      </c>
      <c r="AE395" t="str">
        <f t="shared" si="64"/>
        <v>Noida</v>
      </c>
      <c r="AF395" t="str">
        <f t="shared" si="65"/>
        <v>Office Supplies</v>
      </c>
      <c r="AG395" t="str">
        <f t="shared" si="66"/>
        <v>Labels</v>
      </c>
      <c r="AH395" t="str">
        <f t="shared" si="67"/>
        <v>Eco Labels 815</v>
      </c>
      <c r="AI395" t="str">
        <f t="shared" si="68"/>
        <v>Same Day</v>
      </c>
      <c r="AJ395" s="3" t="str">
        <f t="shared" si="69"/>
        <v>Invalid</v>
      </c>
      <c r="AK395" t="str">
        <f t="shared" si="70"/>
        <v>invalid date</v>
      </c>
    </row>
    <row r="396" spans="1:37">
      <c r="A396" t="s">
        <v>1951</v>
      </c>
      <c r="B396" t="s">
        <v>1952</v>
      </c>
      <c r="C396" t="s">
        <v>1953</v>
      </c>
      <c r="D396" t="s">
        <v>1954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1955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  <c r="W396" t="s">
        <v>1951</v>
      </c>
      <c r="X396" t="str">
        <v>03-04-24</v>
      </c>
      <c r="Y396" t="str">
        <v>04-04-24</v>
      </c>
      <c r="Z396" t="s">
        <v>1954</v>
      </c>
      <c r="AA396" t="str">
        <v>Kabir Singh</v>
      </c>
      <c r="AB396" t="str">
        <f t="shared" si="61"/>
        <v>Consumer</v>
      </c>
      <c r="AC396" t="str">
        <f t="shared" si="62"/>
        <v>West</v>
      </c>
      <c r="AD396" t="str">
        <f t="shared" si="63"/>
        <v>Maharashtra</v>
      </c>
      <c r="AE396" t="str">
        <f t="shared" si="64"/>
        <v>Mumbai</v>
      </c>
      <c r="AF396" t="str">
        <f t="shared" si="65"/>
        <v>Furniture</v>
      </c>
      <c r="AG396" t="str">
        <f t="shared" si="66"/>
        <v>Furnishings</v>
      </c>
      <c r="AH396" t="str">
        <f t="shared" si="67"/>
        <v>Prime Furnishings 879</v>
      </c>
      <c r="AI396" t="str">
        <f t="shared" si="68"/>
        <v>First Class</v>
      </c>
      <c r="AJ396" s="3" t="str">
        <f t="shared" si="69"/>
        <v>anomaly</v>
      </c>
      <c r="AK396">
        <f t="shared" si="70"/>
        <v>1</v>
      </c>
    </row>
    <row r="397" spans="1:37">
      <c r="A397" t="s">
        <v>1956</v>
      </c>
      <c r="B397" t="s">
        <v>1066</v>
      </c>
      <c r="C397" t="s">
        <v>1752</v>
      </c>
      <c r="D397" t="s">
        <v>1957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1958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  <c r="W397" t="s">
        <v>1956</v>
      </c>
      <c r="X397" t="str">
        <v>06-06-24</v>
      </c>
      <c r="Y397" t="str">
        <v>06-07-24</v>
      </c>
      <c r="Z397" t="s">
        <v>1957</v>
      </c>
      <c r="AA397" t="str">
        <v>Rahul Verma</v>
      </c>
      <c r="AB397" t="str">
        <f t="shared" si="61"/>
        <v>Home Office</v>
      </c>
      <c r="AC397" t="str">
        <f t="shared" si="62"/>
        <v>South</v>
      </c>
      <c r="AD397" t="str">
        <f t="shared" si="63"/>
        <v>Tamil Nadu</v>
      </c>
      <c r="AE397" t="str">
        <f t="shared" si="64"/>
        <v>Chennai</v>
      </c>
      <c r="AF397" t="str">
        <f t="shared" si="65"/>
        <v>Furniture</v>
      </c>
      <c r="AG397" t="str">
        <f t="shared" si="66"/>
        <v>Tables</v>
      </c>
      <c r="AH397" t="str">
        <f t="shared" si="67"/>
        <v>Pro Tables 142</v>
      </c>
      <c r="AI397" t="str">
        <f t="shared" si="68"/>
        <v>Same Day</v>
      </c>
      <c r="AJ397" s="3" t="str">
        <f t="shared" si="69"/>
        <v>anomaly</v>
      </c>
      <c r="AK397">
        <f t="shared" si="70"/>
        <v>30</v>
      </c>
    </row>
    <row r="398" spans="1:37">
      <c r="A398" t="s">
        <v>1959</v>
      </c>
      <c r="B398" t="s">
        <v>1960</v>
      </c>
      <c r="C398" t="s">
        <v>1961</v>
      </c>
      <c r="D398" t="s">
        <v>1962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1963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  <c r="W398" t="s">
        <v>1959</v>
      </c>
      <c r="X398" t="str">
        <v>14-04-25</v>
      </c>
      <c r="Y398" t="str">
        <v>22-04-25</v>
      </c>
      <c r="Z398" t="s">
        <v>1962</v>
      </c>
      <c r="AA398" t="str">
        <v>Aditi Sen</v>
      </c>
      <c r="AB398" t="str">
        <f t="shared" si="61"/>
        <v>Small Business</v>
      </c>
      <c r="AC398" t="str">
        <f t="shared" si="62"/>
        <v>South</v>
      </c>
      <c r="AD398" t="str">
        <f t="shared" si="63"/>
        <v>Karnataka</v>
      </c>
      <c r="AE398" t="str">
        <f t="shared" si="64"/>
        <v>Bengaluru</v>
      </c>
      <c r="AF398" t="str">
        <f t="shared" si="65"/>
        <v>Technology</v>
      </c>
      <c r="AG398" t="str">
        <f t="shared" si="66"/>
        <v>Machines</v>
      </c>
      <c r="AH398" t="str">
        <f t="shared" si="67"/>
        <v>Prime Machines 267</v>
      </c>
      <c r="AI398" t="str">
        <f t="shared" si="68"/>
        <v>Standard Class</v>
      </c>
      <c r="AJ398" s="3" t="str">
        <f t="shared" si="69"/>
        <v>anomaly</v>
      </c>
      <c r="AK398">
        <f t="shared" si="70"/>
        <v>8</v>
      </c>
    </row>
    <row r="399" spans="1:37">
      <c r="A399" t="s">
        <v>1964</v>
      </c>
      <c r="B399" t="s">
        <v>1965</v>
      </c>
      <c r="C399" t="s">
        <v>1966</v>
      </c>
      <c r="D399" t="s">
        <v>1967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1968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  <c r="W399" t="s">
        <v>1964</v>
      </c>
      <c r="X399" t="str">
        <v>09-06-25</v>
      </c>
      <c r="Y399" t="str">
        <v>10-06-25</v>
      </c>
      <c r="Z399" t="s">
        <v>1967</v>
      </c>
      <c r="AA399" t="str">
        <v>Sneha Kapoor</v>
      </c>
      <c r="AB399" t="str">
        <f t="shared" si="61"/>
        <v>Small Business</v>
      </c>
      <c r="AC399" t="str">
        <f t="shared" si="62"/>
        <v>North</v>
      </c>
      <c r="AD399" t="str">
        <f t="shared" si="63"/>
        <v>Uttar Pradesh</v>
      </c>
      <c r="AE399" t="str">
        <f t="shared" si="64"/>
        <v>Noida</v>
      </c>
      <c r="AF399" t="str">
        <f t="shared" si="65"/>
        <v>Furniture</v>
      </c>
      <c r="AG399" t="str">
        <f t="shared" si="66"/>
        <v>Tables</v>
      </c>
      <c r="AH399" t="str">
        <f t="shared" si="67"/>
        <v>Eco Tables 378</v>
      </c>
      <c r="AI399" t="str">
        <f t="shared" si="68"/>
        <v>Second Class</v>
      </c>
      <c r="AJ399" s="3" t="str">
        <f t="shared" si="69"/>
        <v>anomaly</v>
      </c>
      <c r="AK399">
        <f t="shared" si="70"/>
        <v>1</v>
      </c>
    </row>
    <row r="400" spans="1:37">
      <c r="A400" t="s">
        <v>1969</v>
      </c>
      <c r="B400" t="s">
        <v>1970</v>
      </c>
      <c r="C400" t="s">
        <v>1971</v>
      </c>
      <c r="D400" t="s">
        <v>1972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1973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  <c r="W400" t="s">
        <v>1969</v>
      </c>
      <c r="X400" t="str">
        <v>19-07-24</v>
      </c>
      <c r="Y400" t="str">
        <v>26-07-24</v>
      </c>
      <c r="Z400" t="s">
        <v>1972</v>
      </c>
      <c r="AA400" t="str">
        <v>Vikram Iyer</v>
      </c>
      <c r="AB400" t="str">
        <f t="shared" si="61"/>
        <v>Corporate</v>
      </c>
      <c r="AC400" t="str">
        <f t="shared" si="62"/>
        <v>North</v>
      </c>
      <c r="AD400" t="str">
        <f t="shared" si="63"/>
        <v>Punjab</v>
      </c>
      <c r="AE400" t="str">
        <f t="shared" si="64"/>
        <v>Ludhiana</v>
      </c>
      <c r="AF400" t="str">
        <f t="shared" si="65"/>
        <v>Technology</v>
      </c>
      <c r="AG400" t="str">
        <f t="shared" si="66"/>
        <v>Machines</v>
      </c>
      <c r="AH400" t="str">
        <f t="shared" si="67"/>
        <v>Elite Machines 523</v>
      </c>
      <c r="AI400" t="str">
        <f t="shared" si="68"/>
        <v>Same Day</v>
      </c>
      <c r="AJ400" s="3" t="str">
        <f t="shared" si="69"/>
        <v>anomaly</v>
      </c>
      <c r="AK400">
        <f t="shared" si="70"/>
        <v>7</v>
      </c>
    </row>
    <row r="401" spans="1:37">
      <c r="A401" t="s">
        <v>1974</v>
      </c>
      <c r="B401" t="s">
        <v>1975</v>
      </c>
      <c r="C401" t="s">
        <v>1976</v>
      </c>
      <c r="D401" t="s">
        <v>1977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1978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  <c r="W401" t="s">
        <v>1974</v>
      </c>
      <c r="X401" t="str">
        <v>invalid date</v>
      </c>
      <c r="Y401" t="str">
        <v>29-04-25</v>
      </c>
      <c r="Z401" t="s">
        <v>1977</v>
      </c>
      <c r="AA401" t="str">
        <v>Diya Patel</v>
      </c>
      <c r="AB401" t="str">
        <f t="shared" si="61"/>
        <v>Small Business</v>
      </c>
      <c r="AC401" t="str">
        <f t="shared" si="62"/>
        <v>South</v>
      </c>
      <c r="AD401" t="str">
        <f t="shared" si="63"/>
        <v>Andhra Pradesh</v>
      </c>
      <c r="AE401" t="str">
        <f t="shared" si="64"/>
        <v>Vijayawada</v>
      </c>
      <c r="AF401" t="str">
        <f t="shared" si="65"/>
        <v>Office Supplies</v>
      </c>
      <c r="AG401" t="str">
        <f t="shared" si="66"/>
        <v>Paper</v>
      </c>
      <c r="AH401" t="str">
        <f t="shared" si="67"/>
        <v>Elite Paper 308</v>
      </c>
      <c r="AI401" t="str">
        <f t="shared" si="68"/>
        <v>Same Day</v>
      </c>
      <c r="AJ401" s="3" t="str">
        <f t="shared" si="69"/>
        <v>Invalid</v>
      </c>
      <c r="AK401" t="str">
        <f t="shared" si="70"/>
        <v>invalid date</v>
      </c>
    </row>
    <row r="402" spans="1:37">
      <c r="A402" t="s">
        <v>1979</v>
      </c>
      <c r="B402" t="s">
        <v>1980</v>
      </c>
      <c r="C402" t="s">
        <v>1981</v>
      </c>
      <c r="D402" t="s">
        <v>1982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1983</v>
      </c>
      <c r="M402" t="s">
        <v>48</v>
      </c>
      <c r="N402">
        <v>7</v>
      </c>
      <c r="O402">
        <v>878.09</v>
      </c>
      <c r="P402" s="5" t="s">
        <v>4117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  <c r="W402" t="s">
        <v>1979</v>
      </c>
      <c r="X402" t="str">
        <v>06-06-25</v>
      </c>
      <c r="Y402" t="str">
        <v>11-06-25</v>
      </c>
      <c r="Z402" t="s">
        <v>1982</v>
      </c>
      <c r="AA402" t="str">
        <v>Sneha Kapoor</v>
      </c>
      <c r="AB402" t="str">
        <f t="shared" si="61"/>
        <v>Small Business</v>
      </c>
      <c r="AC402" t="str">
        <f t="shared" si="62"/>
        <v>North</v>
      </c>
      <c r="AD402" t="str">
        <f t="shared" si="63"/>
        <v>Uttar Pradesh</v>
      </c>
      <c r="AE402" t="str">
        <f t="shared" si="64"/>
        <v>Noida</v>
      </c>
      <c r="AF402" t="str">
        <f t="shared" si="65"/>
        <v>Office Supplies</v>
      </c>
      <c r="AG402" t="str">
        <f t="shared" si="66"/>
        <v>Paper</v>
      </c>
      <c r="AH402" t="str">
        <f t="shared" si="67"/>
        <v>Prime Paper 851</v>
      </c>
      <c r="AI402" t="str">
        <f t="shared" si="68"/>
        <v>Same Day</v>
      </c>
      <c r="AJ402" s="3" t="str">
        <f t="shared" si="69"/>
        <v>anomaly</v>
      </c>
      <c r="AK402">
        <f t="shared" si="70"/>
        <v>5</v>
      </c>
    </row>
    <row r="403" spans="1:37">
      <c r="A403" t="s">
        <v>1984</v>
      </c>
      <c r="B403" t="s">
        <v>1985</v>
      </c>
      <c r="C403" t="s">
        <v>1986</v>
      </c>
      <c r="D403" t="s">
        <v>1987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1988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  <c r="W403" t="s">
        <v>1984</v>
      </c>
      <c r="X403" t="str">
        <v>09-03-25</v>
      </c>
      <c r="Y403" t="str">
        <v>16-03-25</v>
      </c>
      <c r="Z403" t="s">
        <v>1987</v>
      </c>
      <c r="AA403" t="str">
        <v>Arjun Bose</v>
      </c>
      <c r="AB403" t="str">
        <f t="shared" si="61"/>
        <v>Small Business</v>
      </c>
      <c r="AC403" t="str">
        <f t="shared" si="62"/>
        <v>East</v>
      </c>
      <c r="AD403" t="str">
        <f t="shared" si="63"/>
        <v>Jharkhand</v>
      </c>
      <c r="AE403" t="str">
        <f t="shared" si="64"/>
        <v>Ranchi</v>
      </c>
      <c r="AF403" t="str">
        <f t="shared" si="65"/>
        <v>Furniture</v>
      </c>
      <c r="AG403" t="str">
        <f t="shared" si="66"/>
        <v>Tables</v>
      </c>
      <c r="AH403" t="str">
        <f t="shared" si="67"/>
        <v>Classic Tables 151</v>
      </c>
      <c r="AI403" t="str">
        <f t="shared" si="68"/>
        <v>Same Day</v>
      </c>
      <c r="AJ403" s="3" t="str">
        <f t="shared" si="69"/>
        <v>anomaly</v>
      </c>
      <c r="AK403">
        <f t="shared" si="70"/>
        <v>7</v>
      </c>
    </row>
    <row r="404" spans="1:37">
      <c r="A404" t="s">
        <v>1989</v>
      </c>
      <c r="B404" t="s">
        <v>1990</v>
      </c>
      <c r="C404" t="s">
        <v>1991</v>
      </c>
      <c r="D404" t="s">
        <v>1992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1993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  <c r="W404" t="s">
        <v>1989</v>
      </c>
      <c r="X404" t="str">
        <v>22-03-24</v>
      </c>
      <c r="Y404" t="str">
        <v>invalid date</v>
      </c>
      <c r="Z404" t="s">
        <v>1992</v>
      </c>
      <c r="AA404" t="str">
        <v>Priya Menon</v>
      </c>
      <c r="AB404" t="str">
        <f t="shared" si="61"/>
        <v>Small Business</v>
      </c>
      <c r="AC404" t="str">
        <f t="shared" si="62"/>
        <v>South</v>
      </c>
      <c r="AD404" t="str">
        <f t="shared" si="63"/>
        <v>Karnataka</v>
      </c>
      <c r="AE404" t="str">
        <f t="shared" si="64"/>
        <v>Bengaluru</v>
      </c>
      <c r="AF404" t="str">
        <f t="shared" si="65"/>
        <v>Furniture</v>
      </c>
      <c r="AG404" t="str">
        <f t="shared" si="66"/>
        <v>Tables</v>
      </c>
      <c r="AH404" t="str">
        <f t="shared" si="67"/>
        <v>Smart Tables 829</v>
      </c>
      <c r="AI404" s="5" t="s">
        <v>4116</v>
      </c>
      <c r="AJ404" s="3" t="str">
        <f t="shared" si="69"/>
        <v>Invalid</v>
      </c>
      <c r="AK404" t="str">
        <f t="shared" si="70"/>
        <v>invalid date</v>
      </c>
    </row>
    <row r="405" spans="1:37">
      <c r="A405" t="s">
        <v>1994</v>
      </c>
      <c r="B405" t="s">
        <v>1995</v>
      </c>
      <c r="C405" t="s">
        <v>1996</v>
      </c>
      <c r="D405" t="s">
        <v>1997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1998</v>
      </c>
      <c r="L405" t="s">
        <v>1999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  <c r="W405" t="s">
        <v>1994</v>
      </c>
      <c r="X405" t="str">
        <v>invalid date</v>
      </c>
      <c r="Y405" t="str">
        <v>04-10-24</v>
      </c>
      <c r="Z405" t="s">
        <v>1997</v>
      </c>
      <c r="AA405" t="str">
        <v>Arjun Bose</v>
      </c>
      <c r="AB405" t="str">
        <f t="shared" si="61"/>
        <v>Small Business</v>
      </c>
      <c r="AC405" t="str">
        <f t="shared" si="62"/>
        <v>South</v>
      </c>
      <c r="AD405" t="str">
        <f t="shared" si="63"/>
        <v>Kerala</v>
      </c>
      <c r="AE405" t="str">
        <f t="shared" si="64"/>
        <v>Kochi</v>
      </c>
      <c r="AF405" t="str">
        <f t="shared" si="65"/>
        <v>Office Supplies</v>
      </c>
      <c r="AG405" t="str">
        <f t="shared" si="66"/>
        <v>Paper</v>
      </c>
      <c r="AH405" t="str">
        <f t="shared" si="67"/>
        <v>Classic Paper 237</v>
      </c>
      <c r="AI405" t="str">
        <f t="shared" si="68"/>
        <v>Same Day</v>
      </c>
      <c r="AJ405" s="3" t="str">
        <f t="shared" si="69"/>
        <v>Invalid</v>
      </c>
      <c r="AK405" t="str">
        <f t="shared" si="70"/>
        <v>invalid date</v>
      </c>
    </row>
    <row r="406" spans="1:37">
      <c r="A406" t="s">
        <v>2000</v>
      </c>
      <c r="B406" t="s">
        <v>2001</v>
      </c>
      <c r="C406" t="s">
        <v>2002</v>
      </c>
      <c r="D406" t="s">
        <v>2003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2004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  <c r="W406" t="s">
        <v>2000</v>
      </c>
      <c r="X406" t="str">
        <v>27-01-24</v>
      </c>
      <c r="Y406" t="str">
        <v>02-03-24</v>
      </c>
      <c r="Z406" t="s">
        <v>2003</v>
      </c>
      <c r="AA406" t="str">
        <v>Aditi Sen</v>
      </c>
      <c r="AB406" t="str">
        <f t="shared" si="61"/>
        <v>Corporate</v>
      </c>
      <c r="AC406" t="str">
        <f t="shared" si="62"/>
        <v>West</v>
      </c>
      <c r="AD406" t="str">
        <f t="shared" si="63"/>
        <v>Rajasthan</v>
      </c>
      <c r="AE406" t="str">
        <f t="shared" si="64"/>
        <v>Udaipur</v>
      </c>
      <c r="AF406" t="str">
        <f t="shared" si="65"/>
        <v>Furniture</v>
      </c>
      <c r="AG406" t="str">
        <f t="shared" si="66"/>
        <v>Chairs</v>
      </c>
      <c r="AH406" t="str">
        <f t="shared" si="67"/>
        <v>Prime Chairs 891</v>
      </c>
      <c r="AI406" t="str">
        <f t="shared" si="68"/>
        <v>Same Day</v>
      </c>
      <c r="AJ406" s="3" t="str">
        <f t="shared" si="69"/>
        <v xml:space="preserve">  </v>
      </c>
      <c r="AK406">
        <f t="shared" si="70"/>
        <v>35</v>
      </c>
    </row>
    <row r="407" spans="1:37">
      <c r="A407" t="s">
        <v>2005</v>
      </c>
      <c r="B407" t="s">
        <v>2006</v>
      </c>
      <c r="C407" t="s">
        <v>2007</v>
      </c>
      <c r="D407" t="s">
        <v>2008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2009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  <c r="W407" t="s">
        <v>2005</v>
      </c>
      <c r="X407" t="str">
        <v>invalid date</v>
      </c>
      <c r="Y407" t="str">
        <v>24-09-24</v>
      </c>
      <c r="Z407" t="s">
        <v>2008</v>
      </c>
      <c r="AA407" t="str">
        <v>Aditi Sen</v>
      </c>
      <c r="AB407" t="str">
        <f t="shared" si="61"/>
        <v>Home Office</v>
      </c>
      <c r="AC407" t="str">
        <f t="shared" si="62"/>
        <v>West</v>
      </c>
      <c r="AD407" t="str">
        <f t="shared" si="63"/>
        <v>Gujarat</v>
      </c>
      <c r="AE407" t="str">
        <f t="shared" si="64"/>
        <v>Ahmedabad</v>
      </c>
      <c r="AF407" t="str">
        <f t="shared" si="65"/>
        <v>Furniture</v>
      </c>
      <c r="AG407" t="str">
        <f t="shared" si="66"/>
        <v>Bookcases</v>
      </c>
      <c r="AH407" t="str">
        <f t="shared" si="67"/>
        <v>Max Bookcases 812</v>
      </c>
      <c r="AI407" s="5" t="s">
        <v>4116</v>
      </c>
      <c r="AJ407" s="3" t="str">
        <f t="shared" si="69"/>
        <v>Invalid</v>
      </c>
      <c r="AK407" t="str">
        <f t="shared" si="70"/>
        <v>invalid date</v>
      </c>
    </row>
    <row r="408" spans="1:37">
      <c r="A408" t="s">
        <v>2010</v>
      </c>
      <c r="B408" t="s">
        <v>2011</v>
      </c>
      <c r="C408" t="s">
        <v>2011</v>
      </c>
      <c r="D408" t="s">
        <v>2012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2013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  <c r="W408" t="s">
        <v>2010</v>
      </c>
      <c r="X408" t="str">
        <v>25-02-25</v>
      </c>
      <c r="Y408" t="str">
        <v>25-02-25</v>
      </c>
      <c r="Z408" t="s">
        <v>2012</v>
      </c>
      <c r="AA408" t="str">
        <v>Kabir Singh</v>
      </c>
      <c r="AB408" t="str">
        <f t="shared" si="61"/>
        <v>Small Business</v>
      </c>
      <c r="AC408" t="str">
        <f t="shared" si="62"/>
        <v>West</v>
      </c>
      <c r="AD408" t="str">
        <f t="shared" si="63"/>
        <v>Goa</v>
      </c>
      <c r="AE408" t="str">
        <f t="shared" si="64"/>
        <v>Panaji</v>
      </c>
      <c r="AF408" t="str">
        <f t="shared" si="65"/>
        <v>Furniture</v>
      </c>
      <c r="AG408" t="str">
        <f t="shared" si="66"/>
        <v>Furnishings</v>
      </c>
      <c r="AH408" t="str">
        <f t="shared" si="67"/>
        <v>Basic Furnishings 164</v>
      </c>
      <c r="AI408" t="str">
        <f t="shared" si="68"/>
        <v>Standard Class</v>
      </c>
      <c r="AJ408" s="3" t="str">
        <f t="shared" si="69"/>
        <v xml:space="preserve">  </v>
      </c>
      <c r="AK408">
        <f t="shared" si="70"/>
        <v>0</v>
      </c>
    </row>
    <row r="409" spans="1:37">
      <c r="A409" t="s">
        <v>2014</v>
      </c>
      <c r="B409" t="s">
        <v>2015</v>
      </c>
      <c r="C409" t="s">
        <v>2016</v>
      </c>
      <c r="D409" t="s">
        <v>2017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2018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  <c r="W409" t="s">
        <v>2014</v>
      </c>
      <c r="X409" t="str">
        <v>12-05-24</v>
      </c>
      <c r="Y409" t="str">
        <v>13-05-24</v>
      </c>
      <c r="Z409" t="s">
        <v>2017</v>
      </c>
      <c r="AA409" t="str">
        <v>Rahul Verma</v>
      </c>
      <c r="AB409" t="str">
        <f t="shared" si="61"/>
        <v>Corporate</v>
      </c>
      <c r="AC409" t="str">
        <f t="shared" si="62"/>
        <v>West</v>
      </c>
      <c r="AD409" t="str">
        <f t="shared" si="63"/>
        <v>Goa</v>
      </c>
      <c r="AE409" t="str">
        <f t="shared" si="64"/>
        <v>Panaji</v>
      </c>
      <c r="AF409" t="str">
        <f t="shared" si="65"/>
        <v>Office Supplies</v>
      </c>
      <c r="AG409" t="str">
        <f t="shared" si="66"/>
        <v>Labels</v>
      </c>
      <c r="AH409" t="str">
        <f t="shared" si="67"/>
        <v>Smart Labels 261</v>
      </c>
      <c r="AI409" t="str">
        <f t="shared" si="68"/>
        <v>Second Class</v>
      </c>
      <c r="AJ409" s="3" t="str">
        <f t="shared" si="69"/>
        <v>anomaly</v>
      </c>
      <c r="AK409">
        <f t="shared" si="70"/>
        <v>1</v>
      </c>
    </row>
    <row r="410" spans="1:37">
      <c r="A410" t="s">
        <v>2019</v>
      </c>
      <c r="B410" t="s">
        <v>819</v>
      </c>
      <c r="C410" t="s">
        <v>1079</v>
      </c>
      <c r="D410" t="s">
        <v>2020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2021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  <c r="W410" t="s">
        <v>2019</v>
      </c>
      <c r="X410" t="str">
        <v>08-01-25</v>
      </c>
      <c r="Y410" t="str">
        <v>08-03-25</v>
      </c>
      <c r="Z410" t="s">
        <v>2020</v>
      </c>
      <c r="AA410" t="str">
        <v>Sneha Kapoor</v>
      </c>
      <c r="AB410" t="str">
        <f t="shared" si="61"/>
        <v>Consumer</v>
      </c>
      <c r="AC410" t="str">
        <f t="shared" si="62"/>
        <v>West</v>
      </c>
      <c r="AD410" t="str">
        <f t="shared" si="63"/>
        <v>Maharashtra</v>
      </c>
      <c r="AE410" t="str">
        <f t="shared" si="64"/>
        <v>Mumbai</v>
      </c>
      <c r="AF410" t="str">
        <f t="shared" si="65"/>
        <v>Furniture</v>
      </c>
      <c r="AG410" t="str">
        <f t="shared" si="66"/>
        <v>Chairs</v>
      </c>
      <c r="AH410" t="str">
        <f t="shared" si="67"/>
        <v>Max Chairs 765</v>
      </c>
      <c r="AI410" t="str">
        <f t="shared" si="68"/>
        <v>First Class</v>
      </c>
      <c r="AJ410" s="3" t="str">
        <f t="shared" si="69"/>
        <v>anomaly</v>
      </c>
      <c r="AK410">
        <f t="shared" si="70"/>
        <v>59</v>
      </c>
    </row>
    <row r="411" spans="1:37">
      <c r="A411" t="s">
        <v>2022</v>
      </c>
      <c r="B411" t="s">
        <v>829</v>
      </c>
      <c r="C411" t="s">
        <v>770</v>
      </c>
      <c r="D411" t="s">
        <v>2023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2024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  <c r="W411" t="s">
        <v>2022</v>
      </c>
      <c r="X411" t="str">
        <v>13-02-25</v>
      </c>
      <c r="Y411" t="str">
        <v>15-02-25</v>
      </c>
      <c r="Z411" t="s">
        <v>2023</v>
      </c>
      <c r="AA411" t="str">
        <v>Karan Malhotra</v>
      </c>
      <c r="AB411" t="str">
        <f t="shared" si="61"/>
        <v>Consumer</v>
      </c>
      <c r="AC411" t="str">
        <f t="shared" si="62"/>
        <v>East</v>
      </c>
      <c r="AD411" t="str">
        <f t="shared" si="63"/>
        <v>Assam</v>
      </c>
      <c r="AE411" t="str">
        <f t="shared" si="64"/>
        <v>Guwahati</v>
      </c>
      <c r="AF411" t="str">
        <f t="shared" si="65"/>
        <v>Technology</v>
      </c>
      <c r="AG411" t="str">
        <f t="shared" si="66"/>
        <v>Accessories</v>
      </c>
      <c r="AH411" t="str">
        <f t="shared" si="67"/>
        <v>Pro Accessories 686</v>
      </c>
      <c r="AI411" t="str">
        <f t="shared" si="68"/>
        <v>Same Day</v>
      </c>
      <c r="AJ411" s="3" t="str">
        <f t="shared" si="69"/>
        <v>anomaly</v>
      </c>
      <c r="AK411">
        <f t="shared" si="70"/>
        <v>2</v>
      </c>
    </row>
    <row r="412" spans="1:37">
      <c r="A412" t="s">
        <v>2025</v>
      </c>
      <c r="B412" t="s">
        <v>2026</v>
      </c>
      <c r="C412" t="s">
        <v>2027</v>
      </c>
      <c r="D412" t="s">
        <v>2028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2029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  <c r="W412" t="s">
        <v>2025</v>
      </c>
      <c r="X412" t="str">
        <v>12-04-24</v>
      </c>
      <c r="Y412" t="str">
        <v>20-04-24</v>
      </c>
      <c r="Z412" t="s">
        <v>2028</v>
      </c>
      <c r="AA412" t="str">
        <v>Diya Patel</v>
      </c>
      <c r="AB412" t="str">
        <f t="shared" si="61"/>
        <v>Consumer</v>
      </c>
      <c r="AC412" t="str">
        <f t="shared" si="62"/>
        <v>West</v>
      </c>
      <c r="AD412" t="str">
        <f t="shared" si="63"/>
        <v>Goa</v>
      </c>
      <c r="AE412" t="str">
        <f t="shared" si="64"/>
        <v>Panaji</v>
      </c>
      <c r="AF412" t="str">
        <f t="shared" si="65"/>
        <v>Furniture</v>
      </c>
      <c r="AG412" t="str">
        <f t="shared" si="66"/>
        <v>Tables</v>
      </c>
      <c r="AH412" t="str">
        <f t="shared" si="67"/>
        <v>Smart Tables 100</v>
      </c>
      <c r="AI412" t="str">
        <f t="shared" si="68"/>
        <v>First Class</v>
      </c>
      <c r="AJ412" s="3" t="str">
        <f t="shared" si="69"/>
        <v>anomaly</v>
      </c>
      <c r="AK412">
        <f t="shared" si="70"/>
        <v>8</v>
      </c>
    </row>
    <row r="413" spans="1:37">
      <c r="A413" t="s">
        <v>2030</v>
      </c>
      <c r="B413" t="s">
        <v>2031</v>
      </c>
      <c r="C413" t="s">
        <v>2032</v>
      </c>
      <c r="D413" t="s">
        <v>2033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2034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  <c r="W413" t="s">
        <v>2030</v>
      </c>
      <c r="X413" t="str">
        <v>23-08-25</v>
      </c>
      <c r="Y413" t="str">
        <v>28-08-25</v>
      </c>
      <c r="Z413" t="s">
        <v>2033</v>
      </c>
      <c r="AA413" t="str">
        <v>Arjun Bose</v>
      </c>
      <c r="AB413" t="str">
        <f t="shared" si="61"/>
        <v>Home Office</v>
      </c>
      <c r="AC413" t="str">
        <f t="shared" si="62"/>
        <v>West</v>
      </c>
      <c r="AD413" t="str">
        <f t="shared" si="63"/>
        <v>Rajasthan</v>
      </c>
      <c r="AE413" t="str">
        <f t="shared" si="64"/>
        <v>Udaipur</v>
      </c>
      <c r="AF413" t="str">
        <f t="shared" si="65"/>
        <v>Furniture</v>
      </c>
      <c r="AG413" t="str">
        <f t="shared" si="66"/>
        <v>Tables</v>
      </c>
      <c r="AH413" t="str">
        <f t="shared" si="67"/>
        <v>Basic Tables 615</v>
      </c>
      <c r="AI413" t="str">
        <f t="shared" si="68"/>
        <v>First Class</v>
      </c>
      <c r="AJ413" s="3" t="str">
        <f t="shared" si="69"/>
        <v>anomaly</v>
      </c>
      <c r="AK413">
        <f t="shared" si="70"/>
        <v>5</v>
      </c>
    </row>
    <row r="414" spans="1:37">
      <c r="A414" t="s">
        <v>2035</v>
      </c>
      <c r="B414" t="s">
        <v>2036</v>
      </c>
      <c r="C414" t="s">
        <v>833</v>
      </c>
      <c r="D414" t="s">
        <v>2037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2038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  <c r="W414" t="s">
        <v>2035</v>
      </c>
      <c r="X414" t="str">
        <v>22-01-24</v>
      </c>
      <c r="Y414" t="str">
        <v>30-01-24</v>
      </c>
      <c r="Z414" t="s">
        <v>2037</v>
      </c>
      <c r="AA414" t="str">
        <v>Isha Nair</v>
      </c>
      <c r="AB414" t="str">
        <f t="shared" si="61"/>
        <v>Corporate</v>
      </c>
      <c r="AC414" t="str">
        <f t="shared" si="62"/>
        <v>South</v>
      </c>
      <c r="AD414" t="str">
        <f t="shared" si="63"/>
        <v>Karnataka</v>
      </c>
      <c r="AE414" t="str">
        <f t="shared" si="64"/>
        <v>Bengaluru</v>
      </c>
      <c r="AF414" t="str">
        <f t="shared" si="65"/>
        <v>Furniture</v>
      </c>
      <c r="AG414" t="str">
        <f t="shared" si="66"/>
        <v>Chairs</v>
      </c>
      <c r="AH414" t="str">
        <f t="shared" si="67"/>
        <v>Basic Chairs 790</v>
      </c>
      <c r="AI414" t="str">
        <f t="shared" si="68"/>
        <v>Same Day</v>
      </c>
      <c r="AJ414" s="3" t="str">
        <f t="shared" si="69"/>
        <v>anomaly</v>
      </c>
      <c r="AK414">
        <f t="shared" si="70"/>
        <v>8</v>
      </c>
    </row>
    <row r="415" spans="1:37">
      <c r="A415" t="s">
        <v>2039</v>
      </c>
      <c r="B415" t="s">
        <v>240</v>
      </c>
      <c r="C415" t="s">
        <v>2040</v>
      </c>
      <c r="D415" t="s">
        <v>2041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2042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  <c r="W415" t="s">
        <v>2039</v>
      </c>
      <c r="X415" t="str">
        <v>13-08-25</v>
      </c>
      <c r="Y415" t="str">
        <v>17-08-25</v>
      </c>
      <c r="Z415" t="s">
        <v>2041</v>
      </c>
      <c r="AA415" t="str">
        <v>Neha Gupta</v>
      </c>
      <c r="AB415" t="str">
        <f t="shared" si="61"/>
        <v>Home Office</v>
      </c>
      <c r="AC415" t="str">
        <f t="shared" si="62"/>
        <v>West</v>
      </c>
      <c r="AD415" t="str">
        <f t="shared" si="63"/>
        <v>Madhya Pradesh</v>
      </c>
      <c r="AE415" t="str">
        <f t="shared" si="64"/>
        <v>Indore</v>
      </c>
      <c r="AF415" t="str">
        <f t="shared" si="65"/>
        <v>Technology</v>
      </c>
      <c r="AG415" t="str">
        <f t="shared" si="66"/>
        <v>Accessories</v>
      </c>
      <c r="AH415" t="str">
        <f t="shared" si="67"/>
        <v>Smart Accessories 226</v>
      </c>
      <c r="AI415" t="str">
        <f t="shared" si="68"/>
        <v>Second Class</v>
      </c>
      <c r="AJ415" s="3" t="str">
        <f t="shared" si="69"/>
        <v>anomaly</v>
      </c>
      <c r="AK415">
        <f t="shared" si="70"/>
        <v>4</v>
      </c>
    </row>
    <row r="416" spans="1:37">
      <c r="A416" t="s">
        <v>2043</v>
      </c>
      <c r="B416" t="s">
        <v>2044</v>
      </c>
      <c r="C416" t="s">
        <v>2045</v>
      </c>
      <c r="D416" t="s">
        <v>2046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2047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  <c r="W416" t="s">
        <v>2043</v>
      </c>
      <c r="X416" t="str">
        <v>29-08-24</v>
      </c>
      <c r="Y416" t="str">
        <v>invalid date</v>
      </c>
      <c r="Z416" t="s">
        <v>2046</v>
      </c>
      <c r="AA416" t="str">
        <v>Arjun Bose</v>
      </c>
      <c r="AB416" t="str">
        <f t="shared" si="61"/>
        <v>Home Office</v>
      </c>
      <c r="AC416" t="str">
        <f t="shared" si="62"/>
        <v>East</v>
      </c>
      <c r="AD416" t="str">
        <f t="shared" si="63"/>
        <v>Assam</v>
      </c>
      <c r="AE416" t="str">
        <f t="shared" si="64"/>
        <v>Guwahati</v>
      </c>
      <c r="AF416" t="str">
        <f t="shared" si="65"/>
        <v>Office Supplies</v>
      </c>
      <c r="AG416" t="str">
        <f t="shared" si="66"/>
        <v>Storage</v>
      </c>
      <c r="AH416" t="str">
        <f t="shared" si="67"/>
        <v>Max Storage 692</v>
      </c>
      <c r="AI416" t="str">
        <f t="shared" si="68"/>
        <v>First Class</v>
      </c>
      <c r="AJ416" s="3" t="str">
        <f t="shared" si="69"/>
        <v>Invalid</v>
      </c>
      <c r="AK416" t="str">
        <f t="shared" si="70"/>
        <v>invalid date</v>
      </c>
    </row>
    <row r="417" spans="1:37">
      <c r="A417" t="s">
        <v>2048</v>
      </c>
      <c r="B417" t="s">
        <v>2049</v>
      </c>
      <c r="C417" t="s">
        <v>2001</v>
      </c>
      <c r="D417" t="s">
        <v>2050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2051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  <c r="W417" t="s">
        <v>2048</v>
      </c>
      <c r="X417" t="str">
        <v>invalid date</v>
      </c>
      <c r="Y417" t="str">
        <v>27-01-24</v>
      </c>
      <c r="Z417" t="s">
        <v>2050</v>
      </c>
      <c r="AA417" t="str">
        <v>Aarav Sharma</v>
      </c>
      <c r="AB417" t="str">
        <f t="shared" si="61"/>
        <v>Corporate</v>
      </c>
      <c r="AC417" t="str">
        <f t="shared" si="62"/>
        <v>South</v>
      </c>
      <c r="AD417" t="str">
        <f t="shared" si="63"/>
        <v>Karnataka</v>
      </c>
      <c r="AE417" t="str">
        <f t="shared" si="64"/>
        <v>Bengaluru</v>
      </c>
      <c r="AF417" t="str">
        <f t="shared" si="65"/>
        <v>Office Supplies</v>
      </c>
      <c r="AG417" t="str">
        <f t="shared" si="66"/>
        <v>Storage</v>
      </c>
      <c r="AH417" t="str">
        <f t="shared" si="67"/>
        <v>Basic Storage 684</v>
      </c>
      <c r="AI417" t="str">
        <f t="shared" si="68"/>
        <v>Same Day</v>
      </c>
      <c r="AJ417" s="3" t="str">
        <f t="shared" si="69"/>
        <v>Invalid</v>
      </c>
      <c r="AK417" t="str">
        <f t="shared" si="70"/>
        <v>invalid date</v>
      </c>
    </row>
    <row r="418" spans="1:37">
      <c r="A418" t="s">
        <v>2052</v>
      </c>
      <c r="B418" t="s">
        <v>2053</v>
      </c>
      <c r="C418" t="s">
        <v>2054</v>
      </c>
      <c r="D418" t="s">
        <v>2055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2056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  <c r="W418" t="s">
        <v>2052</v>
      </c>
      <c r="X418" t="str">
        <v>08-01-25</v>
      </c>
      <c r="Y418" t="str">
        <v>16-01-25</v>
      </c>
      <c r="Z418" t="s">
        <v>2055</v>
      </c>
      <c r="AA418" t="str">
        <v>Neha Gupta</v>
      </c>
      <c r="AB418" t="str">
        <f t="shared" si="61"/>
        <v>Consumer</v>
      </c>
      <c r="AC418" t="str">
        <f t="shared" si="62"/>
        <v>South</v>
      </c>
      <c r="AD418" t="str">
        <f t="shared" si="63"/>
        <v>Telangana</v>
      </c>
      <c r="AE418" t="str">
        <f t="shared" si="64"/>
        <v>Hyderabad</v>
      </c>
      <c r="AF418" t="str">
        <f t="shared" si="65"/>
        <v>Furniture</v>
      </c>
      <c r="AG418" t="str">
        <f t="shared" si="66"/>
        <v>Furnishings</v>
      </c>
      <c r="AH418" t="str">
        <f t="shared" si="67"/>
        <v>Smart Furnishings 152</v>
      </c>
      <c r="AI418" t="str">
        <f t="shared" si="68"/>
        <v>First Class</v>
      </c>
      <c r="AJ418" s="3" t="str">
        <f t="shared" si="69"/>
        <v>anomaly</v>
      </c>
      <c r="AK418">
        <f t="shared" si="70"/>
        <v>8</v>
      </c>
    </row>
    <row r="419" spans="1:37">
      <c r="A419" t="s">
        <v>2057</v>
      </c>
      <c r="B419" t="s">
        <v>1792</v>
      </c>
      <c r="C419" t="s">
        <v>2058</v>
      </c>
      <c r="D419" t="s">
        <v>2059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2060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  <c r="W419" t="s">
        <v>2057</v>
      </c>
      <c r="X419" t="str">
        <v>invalid date</v>
      </c>
      <c r="Y419" t="str">
        <v>02-05-25</v>
      </c>
      <c r="Z419" t="s">
        <v>2059</v>
      </c>
      <c r="AA419" t="str">
        <v>Mira Das</v>
      </c>
      <c r="AB419" t="str">
        <f t="shared" si="61"/>
        <v>Consumer</v>
      </c>
      <c r="AC419" t="str">
        <f t="shared" si="62"/>
        <v>West</v>
      </c>
      <c r="AD419" t="str">
        <f t="shared" si="63"/>
        <v>Gujarat</v>
      </c>
      <c r="AE419" t="str">
        <f t="shared" si="64"/>
        <v>Ahmedabad</v>
      </c>
      <c r="AF419" t="str">
        <f t="shared" si="65"/>
        <v>Office Supplies</v>
      </c>
      <c r="AG419" t="str">
        <f t="shared" si="66"/>
        <v>Art</v>
      </c>
      <c r="AH419" t="str">
        <f t="shared" si="67"/>
        <v>Max Art 736</v>
      </c>
      <c r="AI419" t="str">
        <f t="shared" si="68"/>
        <v>First Class</v>
      </c>
      <c r="AJ419" s="3" t="str">
        <f t="shared" si="69"/>
        <v>Invalid</v>
      </c>
      <c r="AK419" t="str">
        <f t="shared" si="70"/>
        <v>invalid date</v>
      </c>
    </row>
    <row r="420" spans="1:37">
      <c r="A420" t="s">
        <v>2061</v>
      </c>
      <c r="B420" t="s">
        <v>2062</v>
      </c>
      <c r="C420" t="s">
        <v>2063</v>
      </c>
      <c r="D420" t="s">
        <v>2064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2065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  <c r="W420" t="s">
        <v>2061</v>
      </c>
      <c r="X420" t="str">
        <v>11-09-24</v>
      </c>
      <c r="Y420" t="str">
        <v>invalid date</v>
      </c>
      <c r="Z420" t="s">
        <v>2064</v>
      </c>
      <c r="AA420" t="str">
        <v>Sneha Kapoor</v>
      </c>
      <c r="AB420" t="str">
        <f t="shared" si="61"/>
        <v>Corporate</v>
      </c>
      <c r="AC420" t="str">
        <f t="shared" si="62"/>
        <v>East</v>
      </c>
      <c r="AD420" t="str">
        <f t="shared" si="63"/>
        <v>Odisha</v>
      </c>
      <c r="AE420" t="str">
        <f t="shared" si="64"/>
        <v>Bhubaneswar</v>
      </c>
      <c r="AF420" t="str">
        <f t="shared" si="65"/>
        <v>Technology</v>
      </c>
      <c r="AG420" t="str">
        <f t="shared" si="66"/>
        <v>Copiers</v>
      </c>
      <c r="AH420" t="str">
        <f t="shared" si="67"/>
        <v>Elite Copiers 971</v>
      </c>
      <c r="AI420" t="str">
        <f t="shared" si="68"/>
        <v>Standard Class</v>
      </c>
      <c r="AJ420" s="3" t="str">
        <f t="shared" si="69"/>
        <v>Invalid</v>
      </c>
      <c r="AK420" t="str">
        <f t="shared" si="70"/>
        <v>invalid date</v>
      </c>
    </row>
    <row r="421" spans="1:37">
      <c r="A421" t="s">
        <v>2066</v>
      </c>
      <c r="B421" t="s">
        <v>2067</v>
      </c>
      <c r="C421" t="s">
        <v>2068</v>
      </c>
      <c r="D421" t="s">
        <v>2069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2070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  <c r="W421" t="s">
        <v>2066</v>
      </c>
      <c r="X421" t="str">
        <v>26-09-25</v>
      </c>
      <c r="Y421" t="str">
        <v>invalid date</v>
      </c>
      <c r="Z421" t="s">
        <v>2069</v>
      </c>
      <c r="AA421" t="str">
        <v>Sneha Kapoor</v>
      </c>
      <c r="AB421" t="str">
        <f t="shared" si="61"/>
        <v>Home Office</v>
      </c>
      <c r="AC421" t="str">
        <f t="shared" si="62"/>
        <v>North</v>
      </c>
      <c r="AD421" t="str">
        <f t="shared" si="63"/>
        <v>Haryana</v>
      </c>
      <c r="AE421" t="str">
        <f t="shared" si="64"/>
        <v>Gurugram</v>
      </c>
      <c r="AF421" t="str">
        <f t="shared" si="65"/>
        <v>Technology</v>
      </c>
      <c r="AG421" t="str">
        <f t="shared" si="66"/>
        <v>Phones</v>
      </c>
      <c r="AH421" t="str">
        <f t="shared" si="67"/>
        <v>Classic Phones 940</v>
      </c>
      <c r="AI421" t="str">
        <f t="shared" si="68"/>
        <v>Same Day</v>
      </c>
      <c r="AJ421" s="3" t="str">
        <f t="shared" si="69"/>
        <v>Invalid</v>
      </c>
      <c r="AK421" t="str">
        <f t="shared" si="70"/>
        <v>invalid date</v>
      </c>
    </row>
    <row r="422" spans="1:37">
      <c r="A422" t="s">
        <v>2071</v>
      </c>
      <c r="B422" t="s">
        <v>962</v>
      </c>
      <c r="C422" t="s">
        <v>2072</v>
      </c>
      <c r="D422" t="s">
        <v>2073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2074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  <c r="W422" t="s">
        <v>2071</v>
      </c>
      <c r="X422" t="str">
        <v>18-03-25</v>
      </c>
      <c r="Y422" t="str">
        <v>19-03-25</v>
      </c>
      <c r="Z422" t="s">
        <v>2073</v>
      </c>
      <c r="AA422" t="str">
        <v>Isha Nair</v>
      </c>
      <c r="AB422" t="str">
        <f t="shared" si="61"/>
        <v>Corporate</v>
      </c>
      <c r="AC422" t="str">
        <f t="shared" si="62"/>
        <v>South</v>
      </c>
      <c r="AD422" t="str">
        <f t="shared" si="63"/>
        <v>Tamil Nadu</v>
      </c>
      <c r="AE422" t="str">
        <f t="shared" si="64"/>
        <v>Chennai</v>
      </c>
      <c r="AF422" t="str">
        <f t="shared" si="65"/>
        <v>Technology</v>
      </c>
      <c r="AG422" t="str">
        <f t="shared" si="66"/>
        <v>Machines</v>
      </c>
      <c r="AH422" t="str">
        <f t="shared" si="67"/>
        <v>Pro Machines 579</v>
      </c>
      <c r="AI422" t="str">
        <f t="shared" si="68"/>
        <v>Standard Class</v>
      </c>
      <c r="AJ422" s="3" t="str">
        <f t="shared" si="69"/>
        <v>anomaly</v>
      </c>
      <c r="AK422">
        <f t="shared" si="70"/>
        <v>1</v>
      </c>
    </row>
    <row r="423" spans="1:37">
      <c r="A423" t="s">
        <v>2075</v>
      </c>
      <c r="B423" t="s">
        <v>2076</v>
      </c>
      <c r="C423" t="s">
        <v>2077</v>
      </c>
      <c r="D423" t="s">
        <v>2078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2079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  <c r="W423" t="s">
        <v>2075</v>
      </c>
      <c r="X423" t="str">
        <v>invalid date</v>
      </c>
      <c r="Y423" t="str">
        <v>19-06-25</v>
      </c>
      <c r="Z423" t="s">
        <v>2078</v>
      </c>
      <c r="AA423" t="str">
        <v>Rohan Mehta</v>
      </c>
      <c r="AB423" t="str">
        <f t="shared" si="61"/>
        <v>Small Business</v>
      </c>
      <c r="AC423" t="str">
        <f t="shared" si="62"/>
        <v>North</v>
      </c>
      <c r="AD423" t="str">
        <f t="shared" si="63"/>
        <v>Delhi</v>
      </c>
      <c r="AE423" t="str">
        <f t="shared" si="64"/>
        <v>New Delhi</v>
      </c>
      <c r="AF423" t="str">
        <f t="shared" si="65"/>
        <v>Office Supplies</v>
      </c>
      <c r="AG423" t="str">
        <f t="shared" si="66"/>
        <v>Binders</v>
      </c>
      <c r="AH423" t="str">
        <f t="shared" si="67"/>
        <v>Elite Binders 943</v>
      </c>
      <c r="AI423" t="str">
        <f t="shared" si="68"/>
        <v>Same Day</v>
      </c>
      <c r="AJ423" s="3" t="str">
        <f t="shared" si="69"/>
        <v>Invalid</v>
      </c>
      <c r="AK423" t="str">
        <f t="shared" si="70"/>
        <v>invalid date</v>
      </c>
    </row>
    <row r="424" spans="1:37">
      <c r="A424" t="s">
        <v>2080</v>
      </c>
      <c r="B424" t="s">
        <v>2081</v>
      </c>
      <c r="C424" t="s">
        <v>2082</v>
      </c>
      <c r="D424" t="s">
        <v>2083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2084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  <c r="W424" t="s">
        <v>2080</v>
      </c>
      <c r="X424" t="str">
        <v>09-03-25</v>
      </c>
      <c r="Y424" t="str">
        <v>06-09-25</v>
      </c>
      <c r="Z424" t="s">
        <v>2083</v>
      </c>
      <c r="AA424" t="str">
        <v>Kabir Singh</v>
      </c>
      <c r="AB424" t="str">
        <f t="shared" si="61"/>
        <v>Consumer</v>
      </c>
      <c r="AC424" t="str">
        <f t="shared" si="62"/>
        <v>West</v>
      </c>
      <c r="AD424" t="str">
        <f t="shared" si="63"/>
        <v>Madhya Pradesh</v>
      </c>
      <c r="AE424" t="str">
        <f t="shared" si="64"/>
        <v>Indore</v>
      </c>
      <c r="AF424" t="str">
        <f t="shared" si="65"/>
        <v>Technology</v>
      </c>
      <c r="AG424" t="str">
        <f t="shared" si="66"/>
        <v>Copiers</v>
      </c>
      <c r="AH424" t="str">
        <f t="shared" si="67"/>
        <v>Elite Copiers 474</v>
      </c>
      <c r="AI424" t="str">
        <f t="shared" si="68"/>
        <v>Same Day</v>
      </c>
      <c r="AJ424" s="3" t="str">
        <f t="shared" si="69"/>
        <v xml:space="preserve">  </v>
      </c>
      <c r="AK424">
        <f t="shared" si="70"/>
        <v>181</v>
      </c>
    </row>
    <row r="425" spans="1:37">
      <c r="A425" t="s">
        <v>2085</v>
      </c>
      <c r="B425" t="s">
        <v>2086</v>
      </c>
      <c r="C425" t="s">
        <v>2087</v>
      </c>
      <c r="D425" t="s">
        <v>2088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2089</v>
      </c>
      <c r="M425" t="s">
        <v>2090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  <c r="W425" t="s">
        <v>2085</v>
      </c>
      <c r="X425" t="str">
        <v>20-02-24</v>
      </c>
      <c r="Y425" t="str">
        <v>27-02-24</v>
      </c>
      <c r="Z425" t="s">
        <v>2088</v>
      </c>
      <c r="AA425" t="str">
        <v>Diya Patel</v>
      </c>
      <c r="AB425" t="str">
        <f t="shared" si="61"/>
        <v>Consumer</v>
      </c>
      <c r="AC425" t="str">
        <f t="shared" si="62"/>
        <v>South</v>
      </c>
      <c r="AD425" t="str">
        <f t="shared" si="63"/>
        <v>Kerala</v>
      </c>
      <c r="AE425" t="str">
        <f t="shared" si="64"/>
        <v>Kochi</v>
      </c>
      <c r="AF425" t="str">
        <f t="shared" si="65"/>
        <v>Technology</v>
      </c>
      <c r="AG425" t="str">
        <f t="shared" si="66"/>
        <v>Accessories</v>
      </c>
      <c r="AH425" t="str">
        <f t="shared" si="67"/>
        <v>Prime Accessories 236</v>
      </c>
      <c r="AI425" t="str">
        <f t="shared" si="68"/>
        <v>First Class</v>
      </c>
      <c r="AJ425" s="3" t="str">
        <f t="shared" si="69"/>
        <v>anomaly</v>
      </c>
      <c r="AK425">
        <f t="shared" si="70"/>
        <v>7</v>
      </c>
    </row>
    <row r="426" spans="1:37">
      <c r="A426" t="s">
        <v>2091</v>
      </c>
      <c r="B426" t="s">
        <v>2092</v>
      </c>
      <c r="C426" t="s">
        <v>2093</v>
      </c>
      <c r="D426" t="s">
        <v>2094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2095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  <c r="W426" t="s">
        <v>2091</v>
      </c>
      <c r="X426" t="str">
        <v>invalid date</v>
      </c>
      <c r="Y426" t="str">
        <v>29-06-24</v>
      </c>
      <c r="Z426" t="s">
        <v>2094</v>
      </c>
      <c r="AA426" t="str">
        <v>Neha Gupta</v>
      </c>
      <c r="AB426" t="str">
        <f t="shared" si="61"/>
        <v>Corporate</v>
      </c>
      <c r="AC426" t="str">
        <f t="shared" si="62"/>
        <v>North</v>
      </c>
      <c r="AD426" t="str">
        <f t="shared" si="63"/>
        <v>Punjab</v>
      </c>
      <c r="AE426" t="str">
        <f t="shared" si="64"/>
        <v>Ludhiana</v>
      </c>
      <c r="AF426" t="str">
        <f t="shared" si="65"/>
        <v>Technology</v>
      </c>
      <c r="AG426" t="str">
        <f t="shared" si="66"/>
        <v>Phones</v>
      </c>
      <c r="AH426" t="str">
        <f t="shared" si="67"/>
        <v>Prime Phones 881</v>
      </c>
      <c r="AI426" t="str">
        <f t="shared" si="68"/>
        <v>Standard Class</v>
      </c>
      <c r="AJ426" s="3" t="str">
        <f t="shared" si="69"/>
        <v>Invalid</v>
      </c>
      <c r="AK426" t="str">
        <f t="shared" si="70"/>
        <v>invalid date</v>
      </c>
    </row>
    <row r="427" spans="1:37">
      <c r="A427" t="s">
        <v>2096</v>
      </c>
      <c r="B427" t="s">
        <v>2097</v>
      </c>
      <c r="C427" t="s">
        <v>2098</v>
      </c>
      <c r="D427" t="s">
        <v>2099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2100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  <c r="W427" t="s">
        <v>2096</v>
      </c>
      <c r="X427" t="str">
        <v>26-09-24</v>
      </c>
      <c r="Y427" t="str">
        <v>invalid date</v>
      </c>
      <c r="Z427" t="s">
        <v>2099</v>
      </c>
      <c r="AA427" t="str">
        <v>Isha Nair</v>
      </c>
      <c r="AB427" t="str">
        <f t="shared" si="61"/>
        <v>Home Office</v>
      </c>
      <c r="AC427" t="str">
        <f t="shared" si="62"/>
        <v>North</v>
      </c>
      <c r="AD427" t="str">
        <f t="shared" si="63"/>
        <v>Delhi</v>
      </c>
      <c r="AE427" t="str">
        <f t="shared" si="64"/>
        <v>New Delhi</v>
      </c>
      <c r="AF427" t="str">
        <f t="shared" si="65"/>
        <v>Office Supplies</v>
      </c>
      <c r="AG427" t="str">
        <f t="shared" si="66"/>
        <v>Labels</v>
      </c>
      <c r="AH427" t="str">
        <f t="shared" si="67"/>
        <v>Pro Labels 903</v>
      </c>
      <c r="AI427" t="str">
        <f t="shared" si="68"/>
        <v>First Class</v>
      </c>
      <c r="AJ427" s="3" t="str">
        <f t="shared" si="69"/>
        <v>Invalid</v>
      </c>
      <c r="AK427" t="str">
        <f t="shared" si="70"/>
        <v>invalid date</v>
      </c>
    </row>
    <row r="428" spans="1:37">
      <c r="A428" t="s">
        <v>2101</v>
      </c>
      <c r="B428" t="s">
        <v>2102</v>
      </c>
      <c r="C428" t="s">
        <v>2103</v>
      </c>
      <c r="D428" t="s">
        <v>2104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2105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  <c r="W428" t="s">
        <v>2101</v>
      </c>
      <c r="X428" t="str">
        <v>30-06-24</v>
      </c>
      <c r="Y428" t="str">
        <v>01-07-24</v>
      </c>
      <c r="Z428" t="s">
        <v>2104</v>
      </c>
      <c r="AA428" t="str">
        <v>Aditi Sen</v>
      </c>
      <c r="AB428" t="str">
        <f t="shared" si="61"/>
        <v>Consumer</v>
      </c>
      <c r="AC428" t="str">
        <f t="shared" si="62"/>
        <v>North</v>
      </c>
      <c r="AD428" t="str">
        <f t="shared" si="63"/>
        <v>Haryana</v>
      </c>
      <c r="AE428" t="str">
        <f t="shared" si="64"/>
        <v>Gurugram</v>
      </c>
      <c r="AF428" t="str">
        <f t="shared" si="65"/>
        <v>Technology</v>
      </c>
      <c r="AG428" t="str">
        <f t="shared" si="66"/>
        <v>Copiers</v>
      </c>
      <c r="AH428" t="str">
        <f t="shared" si="67"/>
        <v>Max Copiers 402</v>
      </c>
      <c r="AI428" t="str">
        <f t="shared" si="68"/>
        <v>Same Day</v>
      </c>
      <c r="AJ428" s="3" t="str">
        <f t="shared" si="69"/>
        <v xml:space="preserve">  </v>
      </c>
      <c r="AK428">
        <f t="shared" si="70"/>
        <v>1</v>
      </c>
    </row>
    <row r="429" spans="1:37">
      <c r="A429" t="s">
        <v>2106</v>
      </c>
      <c r="B429" t="s">
        <v>2107</v>
      </c>
      <c r="C429" t="s">
        <v>2108</v>
      </c>
      <c r="D429" t="s">
        <v>2109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2110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  <c r="W429" t="s">
        <v>2106</v>
      </c>
      <c r="X429" t="str">
        <v>22-04-25</v>
      </c>
      <c r="Y429" t="str">
        <v>24-04-25</v>
      </c>
      <c r="Z429" t="s">
        <v>2109</v>
      </c>
      <c r="AA429" t="str">
        <v>Isha Nair</v>
      </c>
      <c r="AB429" t="str">
        <f t="shared" si="61"/>
        <v>Corporate</v>
      </c>
      <c r="AC429" s="5" t="s">
        <v>4116</v>
      </c>
      <c r="AD429" t="str">
        <f t="shared" si="63"/>
        <v>Jharkhand</v>
      </c>
      <c r="AE429" t="str">
        <f t="shared" si="64"/>
        <v>Ranchi</v>
      </c>
      <c r="AF429" t="str">
        <f t="shared" si="65"/>
        <v>Technology</v>
      </c>
      <c r="AG429" t="str">
        <f t="shared" si="66"/>
        <v>Accessories</v>
      </c>
      <c r="AH429" t="str">
        <f t="shared" si="67"/>
        <v>Prime Accessories 419</v>
      </c>
      <c r="AI429" t="str">
        <f t="shared" si="68"/>
        <v>Standard Class</v>
      </c>
      <c r="AJ429" s="3" t="str">
        <f t="shared" si="69"/>
        <v>anomaly</v>
      </c>
      <c r="AK429">
        <f t="shared" si="70"/>
        <v>2</v>
      </c>
    </row>
    <row r="430" spans="1:37">
      <c r="A430" t="s">
        <v>2111</v>
      </c>
      <c r="B430" t="s">
        <v>2112</v>
      </c>
      <c r="C430" t="s">
        <v>2113</v>
      </c>
      <c r="D430" t="s">
        <v>2114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2115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  <c r="W430" t="s">
        <v>2111</v>
      </c>
      <c r="X430" t="str">
        <v>15-03-25</v>
      </c>
      <c r="Y430" t="str">
        <v>22-03-25</v>
      </c>
      <c r="Z430" t="s">
        <v>2114</v>
      </c>
      <c r="AA430" t="str">
        <v>Karan Malhotra</v>
      </c>
      <c r="AB430" t="str">
        <f t="shared" si="61"/>
        <v>Small Business</v>
      </c>
      <c r="AC430" t="str">
        <f t="shared" si="62"/>
        <v>East</v>
      </c>
      <c r="AD430" t="str">
        <f t="shared" si="63"/>
        <v>West Bengal</v>
      </c>
      <c r="AE430" t="str">
        <f t="shared" si="64"/>
        <v>Kolkata</v>
      </c>
      <c r="AF430" t="str">
        <f t="shared" si="65"/>
        <v>Technology</v>
      </c>
      <c r="AG430" t="str">
        <f t="shared" si="66"/>
        <v>Phones</v>
      </c>
      <c r="AH430" t="str">
        <f t="shared" si="67"/>
        <v>Elite Phones 488</v>
      </c>
      <c r="AI430" t="str">
        <f t="shared" si="68"/>
        <v>Same Day</v>
      </c>
      <c r="AJ430" s="3" t="str">
        <f t="shared" si="69"/>
        <v>anomaly</v>
      </c>
      <c r="AK430">
        <f t="shared" si="70"/>
        <v>7</v>
      </c>
    </row>
    <row r="431" spans="1:37">
      <c r="A431" t="s">
        <v>2116</v>
      </c>
      <c r="B431" t="s">
        <v>2117</v>
      </c>
      <c r="C431" t="s">
        <v>2118</v>
      </c>
      <c r="D431" t="s">
        <v>2119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2120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  <c r="W431" t="s">
        <v>2116</v>
      </c>
      <c r="X431" t="str">
        <v>01-03-25</v>
      </c>
      <c r="Y431" t="str">
        <v>08-03-25</v>
      </c>
      <c r="Z431" t="s">
        <v>2119</v>
      </c>
      <c r="AA431" t="str">
        <v>Neha Gupta</v>
      </c>
      <c r="AB431" t="str">
        <f t="shared" si="61"/>
        <v>Home Office</v>
      </c>
      <c r="AC431" t="str">
        <f t="shared" si="62"/>
        <v>North</v>
      </c>
      <c r="AD431" t="str">
        <f t="shared" si="63"/>
        <v>Rajasthan</v>
      </c>
      <c r="AE431" t="str">
        <f t="shared" si="64"/>
        <v>Jaipur</v>
      </c>
      <c r="AF431" t="str">
        <f t="shared" si="65"/>
        <v>Technology</v>
      </c>
      <c r="AG431" t="str">
        <f t="shared" si="66"/>
        <v>Copiers</v>
      </c>
      <c r="AH431" t="str">
        <f t="shared" si="67"/>
        <v>Prime Copiers 109</v>
      </c>
      <c r="AI431" t="str">
        <f t="shared" si="68"/>
        <v>Same Day</v>
      </c>
      <c r="AJ431" s="3" t="str">
        <f t="shared" si="69"/>
        <v>anomaly</v>
      </c>
      <c r="AK431">
        <f t="shared" si="70"/>
        <v>7</v>
      </c>
    </row>
    <row r="432" spans="1:37">
      <c r="A432" t="s">
        <v>2121</v>
      </c>
      <c r="B432" t="s">
        <v>2122</v>
      </c>
      <c r="C432" t="s">
        <v>2123</v>
      </c>
      <c r="D432" t="s">
        <v>2124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2125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  <c r="W432" t="s">
        <v>2121</v>
      </c>
      <c r="X432" t="str">
        <v>30-08-24</v>
      </c>
      <c r="Y432" t="str">
        <v>02-09-24</v>
      </c>
      <c r="Z432" t="s">
        <v>2124</v>
      </c>
      <c r="AA432" t="str">
        <v>Neha Gupta</v>
      </c>
      <c r="AB432" t="str">
        <f t="shared" si="61"/>
        <v>Small Business</v>
      </c>
      <c r="AC432" t="str">
        <f t="shared" si="62"/>
        <v>North</v>
      </c>
      <c r="AD432" t="str">
        <f t="shared" si="63"/>
        <v>Haryana</v>
      </c>
      <c r="AE432" t="str">
        <f t="shared" si="64"/>
        <v>Gurugram</v>
      </c>
      <c r="AF432" t="str">
        <f t="shared" si="65"/>
        <v>Office Supplies</v>
      </c>
      <c r="AG432" t="str">
        <f t="shared" si="66"/>
        <v>Paper</v>
      </c>
      <c r="AH432" t="str">
        <f t="shared" si="67"/>
        <v>Max Paper 576</v>
      </c>
      <c r="AI432" t="str">
        <f t="shared" si="68"/>
        <v>Second Class</v>
      </c>
      <c r="AJ432" s="3" t="str">
        <f t="shared" si="69"/>
        <v xml:space="preserve">  </v>
      </c>
      <c r="AK432">
        <f t="shared" si="70"/>
        <v>3</v>
      </c>
    </row>
    <row r="433" spans="1:37">
      <c r="A433" t="s">
        <v>2126</v>
      </c>
      <c r="B433" t="s">
        <v>2127</v>
      </c>
      <c r="C433" t="s">
        <v>2128</v>
      </c>
      <c r="D433" t="s">
        <v>2129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2130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  <c r="W433" t="s">
        <v>2126</v>
      </c>
      <c r="X433" t="str">
        <v>10-02-24</v>
      </c>
      <c r="Y433" t="str">
        <v>invalid date</v>
      </c>
      <c r="Z433" t="s">
        <v>2129</v>
      </c>
      <c r="AA433" t="str">
        <v>Karan Malhotra</v>
      </c>
      <c r="AB433" t="str">
        <f t="shared" si="61"/>
        <v>Home Office</v>
      </c>
      <c r="AC433" t="str">
        <f t="shared" si="62"/>
        <v>West</v>
      </c>
      <c r="AD433" t="str">
        <f t="shared" si="63"/>
        <v>Goa</v>
      </c>
      <c r="AE433" t="str">
        <f t="shared" si="64"/>
        <v>Panaji</v>
      </c>
      <c r="AF433" t="str">
        <f t="shared" si="65"/>
        <v>Technology</v>
      </c>
      <c r="AG433" t="str">
        <f t="shared" si="66"/>
        <v>Machines</v>
      </c>
      <c r="AH433" t="str">
        <f t="shared" si="67"/>
        <v>Max Machines 412</v>
      </c>
      <c r="AI433" t="str">
        <f t="shared" si="68"/>
        <v>Same Day</v>
      </c>
      <c r="AJ433" s="3" t="str">
        <f t="shared" si="69"/>
        <v>Invalid</v>
      </c>
      <c r="AK433" t="str">
        <f t="shared" si="70"/>
        <v>invalid date</v>
      </c>
    </row>
    <row r="434" spans="1:37">
      <c r="A434" t="s">
        <v>2131</v>
      </c>
      <c r="B434" t="s">
        <v>1948</v>
      </c>
      <c r="C434" t="s">
        <v>2123</v>
      </c>
      <c r="D434" t="s">
        <v>2132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2133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  <c r="W434" t="s">
        <v>2131</v>
      </c>
      <c r="X434" t="str">
        <v>invalid date</v>
      </c>
      <c r="Y434" t="str">
        <v>02-09-24</v>
      </c>
      <c r="Z434" t="s">
        <v>2132</v>
      </c>
      <c r="AA434" t="str">
        <v>Priya Menon</v>
      </c>
      <c r="AB434" t="str">
        <f t="shared" si="61"/>
        <v>Small Business</v>
      </c>
      <c r="AC434" t="str">
        <f t="shared" si="62"/>
        <v>West</v>
      </c>
      <c r="AD434" t="str">
        <f t="shared" si="63"/>
        <v>Maharashtra</v>
      </c>
      <c r="AE434" t="str">
        <f t="shared" si="64"/>
        <v>Mumbai</v>
      </c>
      <c r="AF434" t="str">
        <f t="shared" si="65"/>
        <v>Furniture</v>
      </c>
      <c r="AG434" t="str">
        <f t="shared" si="66"/>
        <v>Bookcases</v>
      </c>
      <c r="AH434" t="str">
        <f t="shared" si="67"/>
        <v>Classic Bookcases 291</v>
      </c>
      <c r="AI434" t="str">
        <f t="shared" si="68"/>
        <v>Standard Class</v>
      </c>
      <c r="AJ434" s="3" t="str">
        <f t="shared" si="69"/>
        <v>Invalid</v>
      </c>
      <c r="AK434" t="str">
        <f t="shared" si="70"/>
        <v>invalid date</v>
      </c>
    </row>
    <row r="435" spans="1:37">
      <c r="A435" t="s">
        <v>2134</v>
      </c>
      <c r="B435" t="s">
        <v>2135</v>
      </c>
      <c r="C435" t="s">
        <v>2136</v>
      </c>
      <c r="D435" t="s">
        <v>2137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2138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  <c r="W435" t="s">
        <v>2134</v>
      </c>
      <c r="X435" t="str">
        <v>invalid date</v>
      </c>
      <c r="Y435" t="str">
        <v>20-04-24</v>
      </c>
      <c r="Z435" t="s">
        <v>2137</v>
      </c>
      <c r="AA435" t="str">
        <v>Priya Menon</v>
      </c>
      <c r="AB435" t="str">
        <f t="shared" si="61"/>
        <v>Corporate</v>
      </c>
      <c r="AC435" t="str">
        <f t="shared" si="62"/>
        <v>South</v>
      </c>
      <c r="AD435" t="str">
        <f t="shared" si="63"/>
        <v>Kerala</v>
      </c>
      <c r="AE435" t="str">
        <f t="shared" si="64"/>
        <v>Kochi</v>
      </c>
      <c r="AF435" t="str">
        <f t="shared" si="65"/>
        <v>Office Supplies</v>
      </c>
      <c r="AG435" t="str">
        <f t="shared" si="66"/>
        <v>Art</v>
      </c>
      <c r="AH435" t="str">
        <f t="shared" si="67"/>
        <v>Elite Art 946</v>
      </c>
      <c r="AI435" t="str">
        <f t="shared" si="68"/>
        <v>Second Class</v>
      </c>
      <c r="AJ435" s="3" t="str">
        <f t="shared" si="69"/>
        <v>Invalid</v>
      </c>
      <c r="AK435" t="str">
        <f t="shared" si="70"/>
        <v>invalid date</v>
      </c>
    </row>
    <row r="436" spans="1:37">
      <c r="A436" t="s">
        <v>2139</v>
      </c>
      <c r="B436" t="s">
        <v>2140</v>
      </c>
      <c r="C436" t="s">
        <v>2141</v>
      </c>
      <c r="D436" t="s">
        <v>2142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2143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  <c r="W436" t="s">
        <v>2139</v>
      </c>
      <c r="X436" t="str">
        <v>04-11-25</v>
      </c>
      <c r="Y436" t="str">
        <v>15-04-25</v>
      </c>
      <c r="Z436" t="s">
        <v>2142</v>
      </c>
      <c r="AA436" t="str">
        <v>Mira Das</v>
      </c>
      <c r="AB436" t="str">
        <f t="shared" si="61"/>
        <v>Home Office</v>
      </c>
      <c r="AC436" t="str">
        <f t="shared" si="62"/>
        <v>North</v>
      </c>
      <c r="AD436" t="str">
        <f t="shared" si="63"/>
        <v>Uttar Pradesh</v>
      </c>
      <c r="AE436" t="str">
        <f t="shared" si="64"/>
        <v>Noida</v>
      </c>
      <c r="AF436" t="str">
        <f t="shared" si="65"/>
        <v>Technology</v>
      </c>
      <c r="AG436" t="str">
        <f t="shared" si="66"/>
        <v>Accessories</v>
      </c>
      <c r="AH436" t="str">
        <f t="shared" si="67"/>
        <v>Eco Accessories 705</v>
      </c>
      <c r="AI436" t="str">
        <f t="shared" si="68"/>
        <v>Second Class</v>
      </c>
      <c r="AJ436" s="3" t="str">
        <f t="shared" si="69"/>
        <v>anomaly</v>
      </c>
      <c r="AK436">
        <f t="shared" si="70"/>
        <v>-203</v>
      </c>
    </row>
    <row r="437" spans="1:37">
      <c r="A437" t="s">
        <v>2144</v>
      </c>
      <c r="B437" t="s">
        <v>2145</v>
      </c>
      <c r="C437" t="s">
        <v>1027</v>
      </c>
      <c r="D437" t="s">
        <v>2146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2147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  <c r="W437" t="s">
        <v>2144</v>
      </c>
      <c r="X437" t="str">
        <v>12-04-25</v>
      </c>
      <c r="Y437" t="str">
        <v>20-04-25</v>
      </c>
      <c r="Z437" t="s">
        <v>2146</v>
      </c>
      <c r="AA437" t="str">
        <v>Kabir Singh</v>
      </c>
      <c r="AB437" t="str">
        <f t="shared" si="61"/>
        <v>Home Office</v>
      </c>
      <c r="AC437" t="str">
        <f t="shared" si="62"/>
        <v>North</v>
      </c>
      <c r="AD437" t="str">
        <f t="shared" si="63"/>
        <v>Delhi</v>
      </c>
      <c r="AE437" t="str">
        <f t="shared" si="64"/>
        <v>New Delhi</v>
      </c>
      <c r="AF437" t="str">
        <f t="shared" si="65"/>
        <v>Technology</v>
      </c>
      <c r="AG437" t="str">
        <f t="shared" si="66"/>
        <v>Machines</v>
      </c>
      <c r="AH437" t="str">
        <f t="shared" si="67"/>
        <v>Max Machines 151</v>
      </c>
      <c r="AI437" t="str">
        <f t="shared" si="68"/>
        <v>Standard Class</v>
      </c>
      <c r="AJ437" s="3" t="str">
        <f t="shared" si="69"/>
        <v>anomaly</v>
      </c>
      <c r="AK437">
        <f t="shared" si="70"/>
        <v>8</v>
      </c>
    </row>
    <row r="438" spans="1:37">
      <c r="A438" t="s">
        <v>2148</v>
      </c>
      <c r="B438" t="s">
        <v>2149</v>
      </c>
      <c r="C438" t="s">
        <v>2150</v>
      </c>
      <c r="D438" t="s">
        <v>2151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2152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  <c r="W438" t="s">
        <v>2148</v>
      </c>
      <c r="X438" t="str">
        <v>16-06-24</v>
      </c>
      <c r="Y438" t="str">
        <v>21-06-24</v>
      </c>
      <c r="Z438" t="s">
        <v>2151</v>
      </c>
      <c r="AA438" t="str">
        <v>Neha Gupta</v>
      </c>
      <c r="AB438" t="str">
        <f t="shared" si="61"/>
        <v>Consumer</v>
      </c>
      <c r="AC438" t="str">
        <f t="shared" si="62"/>
        <v>South</v>
      </c>
      <c r="AD438" t="str">
        <f t="shared" si="63"/>
        <v>Kerala</v>
      </c>
      <c r="AE438" t="str">
        <f t="shared" si="64"/>
        <v>Kochi</v>
      </c>
      <c r="AF438" t="str">
        <f t="shared" si="65"/>
        <v>Furniture</v>
      </c>
      <c r="AG438" t="str">
        <f t="shared" si="66"/>
        <v>Furnishings</v>
      </c>
      <c r="AH438" t="str">
        <f t="shared" si="67"/>
        <v>Max Furnishings 803</v>
      </c>
      <c r="AI438" t="str">
        <f t="shared" si="68"/>
        <v>Same Day</v>
      </c>
      <c r="AJ438" s="3" t="str">
        <f t="shared" si="69"/>
        <v>anomaly</v>
      </c>
      <c r="AK438">
        <f t="shared" si="70"/>
        <v>5</v>
      </c>
    </row>
    <row r="439" spans="1:37">
      <c r="A439" t="s">
        <v>2153</v>
      </c>
      <c r="B439" t="s">
        <v>2154</v>
      </c>
      <c r="C439" t="s">
        <v>2155</v>
      </c>
      <c r="D439" t="s">
        <v>2156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2157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  <c r="W439" t="s">
        <v>2153</v>
      </c>
      <c r="X439" t="str">
        <v>15-02-24</v>
      </c>
      <c r="Y439" t="str">
        <v>18-02-24</v>
      </c>
      <c r="Z439" t="s">
        <v>2156</v>
      </c>
      <c r="AA439" t="str">
        <v>Aditi Sen</v>
      </c>
      <c r="AB439" t="str">
        <f t="shared" si="61"/>
        <v>Small Business</v>
      </c>
      <c r="AC439" t="str">
        <f t="shared" si="62"/>
        <v>South</v>
      </c>
      <c r="AD439" t="str">
        <f t="shared" si="63"/>
        <v>Kerala</v>
      </c>
      <c r="AE439" t="str">
        <f t="shared" si="64"/>
        <v>Kochi</v>
      </c>
      <c r="AF439" t="str">
        <f t="shared" si="65"/>
        <v>Technology</v>
      </c>
      <c r="AG439" t="str">
        <f t="shared" si="66"/>
        <v>Accessories</v>
      </c>
      <c r="AH439" t="str">
        <f t="shared" si="67"/>
        <v>Max Accessories 423</v>
      </c>
      <c r="AI439" t="str">
        <f t="shared" si="68"/>
        <v>Same Day</v>
      </c>
      <c r="AJ439" s="3" t="str">
        <f t="shared" si="69"/>
        <v>anomaly</v>
      </c>
      <c r="AK439">
        <f t="shared" si="70"/>
        <v>3</v>
      </c>
    </row>
    <row r="440" spans="1:37">
      <c r="A440" t="s">
        <v>2158</v>
      </c>
      <c r="B440" t="s">
        <v>1022</v>
      </c>
      <c r="C440" t="s">
        <v>2159</v>
      </c>
      <c r="D440" t="s">
        <v>2160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2161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  <c r="W440" t="s">
        <v>2158</v>
      </c>
      <c r="X440" t="str">
        <v>07-05-25</v>
      </c>
      <c r="Y440" t="str">
        <v>05-05-25</v>
      </c>
      <c r="Z440" t="s">
        <v>2160</v>
      </c>
      <c r="AA440" t="str">
        <v>Neha Gupta</v>
      </c>
      <c r="AB440" t="str">
        <f t="shared" si="61"/>
        <v>Corporate</v>
      </c>
      <c r="AC440" t="str">
        <f t="shared" si="62"/>
        <v>East</v>
      </c>
      <c r="AD440" t="str">
        <f t="shared" si="63"/>
        <v>Jharkhand</v>
      </c>
      <c r="AE440" t="str">
        <f t="shared" si="64"/>
        <v>Ranchi</v>
      </c>
      <c r="AF440" t="str">
        <f t="shared" si="65"/>
        <v>Technology</v>
      </c>
      <c r="AG440" t="str">
        <f t="shared" si="66"/>
        <v>Phones</v>
      </c>
      <c r="AH440" t="str">
        <f t="shared" si="67"/>
        <v>Elite Phones 276</v>
      </c>
      <c r="AI440" t="str">
        <f t="shared" si="68"/>
        <v>Standard Class</v>
      </c>
      <c r="AJ440" s="3" t="str">
        <f t="shared" si="69"/>
        <v xml:space="preserve">  </v>
      </c>
      <c r="AK440">
        <f t="shared" si="70"/>
        <v>-2</v>
      </c>
    </row>
    <row r="441" spans="1:37">
      <c r="A441" t="s">
        <v>2162</v>
      </c>
      <c r="B441" t="s">
        <v>2163</v>
      </c>
      <c r="C441" t="s">
        <v>2164</v>
      </c>
      <c r="D441" t="s">
        <v>2165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2166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  <c r="W441" t="s">
        <v>2162</v>
      </c>
      <c r="X441" t="str">
        <v>30-06-25</v>
      </c>
      <c r="Y441" t="str">
        <v>03-07-25</v>
      </c>
      <c r="Z441" t="s">
        <v>2165</v>
      </c>
      <c r="AA441" t="str">
        <v>Aarav Sharma</v>
      </c>
      <c r="AB441" t="str">
        <f t="shared" si="61"/>
        <v>Home Office</v>
      </c>
      <c r="AC441" t="str">
        <f t="shared" si="62"/>
        <v>West</v>
      </c>
      <c r="AD441" t="str">
        <f t="shared" si="63"/>
        <v>Goa</v>
      </c>
      <c r="AE441" t="str">
        <f t="shared" si="64"/>
        <v>Panaji</v>
      </c>
      <c r="AF441" t="str">
        <f t="shared" si="65"/>
        <v>Office Supplies</v>
      </c>
      <c r="AG441" t="str">
        <f t="shared" si="66"/>
        <v>Storage</v>
      </c>
      <c r="AH441" t="str">
        <f t="shared" si="67"/>
        <v>Smart Storage 287</v>
      </c>
      <c r="AI441" t="str">
        <f t="shared" si="68"/>
        <v>Same Day</v>
      </c>
      <c r="AJ441" s="3" t="str">
        <f t="shared" si="69"/>
        <v xml:space="preserve">  </v>
      </c>
      <c r="AK441">
        <f t="shared" si="70"/>
        <v>3</v>
      </c>
    </row>
    <row r="442" spans="1:37">
      <c r="A442" t="s">
        <v>2167</v>
      </c>
      <c r="B442" t="s">
        <v>2168</v>
      </c>
      <c r="C442" t="s">
        <v>2169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2170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  <c r="W442" t="s">
        <v>2167</v>
      </c>
      <c r="X442" t="str">
        <v>04-02-24</v>
      </c>
      <c r="Y442" t="str">
        <v>04-08-24</v>
      </c>
      <c r="Z442" t="s">
        <v>376</v>
      </c>
      <c r="AA442" t="str">
        <v>Vikram Iyer</v>
      </c>
      <c r="AB442" t="str">
        <f t="shared" si="61"/>
        <v>Corporate</v>
      </c>
      <c r="AC442" t="str">
        <f t="shared" si="62"/>
        <v>East</v>
      </c>
      <c r="AD442" t="str">
        <f t="shared" si="63"/>
        <v>Odisha</v>
      </c>
      <c r="AE442" t="str">
        <f t="shared" si="64"/>
        <v>Bhubaneswar</v>
      </c>
      <c r="AF442" t="str">
        <f t="shared" si="65"/>
        <v>Technology</v>
      </c>
      <c r="AG442" t="str">
        <f t="shared" si="66"/>
        <v>Machines</v>
      </c>
      <c r="AH442" t="str">
        <f t="shared" si="67"/>
        <v>Basic Machines 610</v>
      </c>
      <c r="AI442" t="str">
        <f t="shared" si="68"/>
        <v>Second Class</v>
      </c>
      <c r="AJ442" s="3" t="str">
        <f t="shared" si="69"/>
        <v>anomaly</v>
      </c>
      <c r="AK442">
        <f t="shared" si="70"/>
        <v>182</v>
      </c>
    </row>
    <row r="443" spans="1:37">
      <c r="A443" t="s">
        <v>2171</v>
      </c>
      <c r="B443" t="s">
        <v>2172</v>
      </c>
      <c r="C443" t="s">
        <v>525</v>
      </c>
      <c r="D443" t="s">
        <v>2173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2174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  <c r="W443" t="s">
        <v>2171</v>
      </c>
      <c r="X443" t="str">
        <v>03-10-24</v>
      </c>
      <c r="Y443" t="str">
        <v>03-10-24</v>
      </c>
      <c r="Z443" t="s">
        <v>2173</v>
      </c>
      <c r="AA443" t="str">
        <v>Karan Malhotra</v>
      </c>
      <c r="AB443" t="str">
        <f t="shared" si="61"/>
        <v>Consumer</v>
      </c>
      <c r="AC443" t="str">
        <f t="shared" si="62"/>
        <v>East</v>
      </c>
      <c r="AD443" t="str">
        <f t="shared" si="63"/>
        <v>Bihar</v>
      </c>
      <c r="AE443" t="str">
        <f t="shared" si="64"/>
        <v>Patna</v>
      </c>
      <c r="AF443" t="str">
        <f t="shared" si="65"/>
        <v>Furniture</v>
      </c>
      <c r="AG443" t="str">
        <f t="shared" si="66"/>
        <v>Bookcases</v>
      </c>
      <c r="AH443" t="str">
        <f t="shared" si="67"/>
        <v>Elite Bookcases 393</v>
      </c>
      <c r="AI443" t="str">
        <f t="shared" si="68"/>
        <v>Standard Class</v>
      </c>
      <c r="AJ443" s="3" t="str">
        <f t="shared" si="69"/>
        <v xml:space="preserve">  </v>
      </c>
      <c r="AK443">
        <f t="shared" si="70"/>
        <v>0</v>
      </c>
    </row>
    <row r="444" spans="1:37">
      <c r="A444" t="s">
        <v>2175</v>
      </c>
      <c r="B444" t="s">
        <v>2176</v>
      </c>
      <c r="C444" t="s">
        <v>2177</v>
      </c>
      <c r="D444" t="s">
        <v>2178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2179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  <c r="W444" t="s">
        <v>2175</v>
      </c>
      <c r="X444" t="str">
        <v>12-01-25</v>
      </c>
      <c r="Y444" t="str">
        <v>19-01-25</v>
      </c>
      <c r="Z444" t="s">
        <v>2178</v>
      </c>
      <c r="AA444" t="str">
        <v>Aarav Sharma</v>
      </c>
      <c r="AB444" t="str">
        <f t="shared" si="61"/>
        <v>Consumer</v>
      </c>
      <c r="AC444" t="str">
        <f t="shared" si="62"/>
        <v>East</v>
      </c>
      <c r="AD444" t="str">
        <f t="shared" si="63"/>
        <v>Jharkhand</v>
      </c>
      <c r="AE444" t="str">
        <f t="shared" si="64"/>
        <v>Ranchi</v>
      </c>
      <c r="AF444" t="str">
        <f t="shared" si="65"/>
        <v>Furniture</v>
      </c>
      <c r="AG444" t="str">
        <f t="shared" si="66"/>
        <v>Tables</v>
      </c>
      <c r="AH444" t="str">
        <f t="shared" si="67"/>
        <v>Prime Tables 242</v>
      </c>
      <c r="AI444" t="str">
        <f t="shared" si="68"/>
        <v>First Class</v>
      </c>
      <c r="AJ444" s="3" t="str">
        <f t="shared" si="69"/>
        <v>anomaly</v>
      </c>
      <c r="AK444">
        <f t="shared" si="70"/>
        <v>7</v>
      </c>
    </row>
    <row r="445" spans="1:37">
      <c r="A445" t="s">
        <v>2180</v>
      </c>
      <c r="B445" t="s">
        <v>2181</v>
      </c>
      <c r="C445" t="s">
        <v>1892</v>
      </c>
      <c r="D445" t="s">
        <v>2182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2183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  <c r="W445" t="s">
        <v>2180</v>
      </c>
      <c r="X445" t="str">
        <v>04-04-24</v>
      </c>
      <c r="Y445" t="str">
        <v>07-04-24</v>
      </c>
      <c r="Z445" t="s">
        <v>2182</v>
      </c>
      <c r="AA445" t="str">
        <v>Rohan Mehta</v>
      </c>
      <c r="AB445" t="str">
        <f t="shared" si="61"/>
        <v>Home Office</v>
      </c>
      <c r="AC445" t="str">
        <f t="shared" si="62"/>
        <v>East</v>
      </c>
      <c r="AD445" t="str">
        <f t="shared" si="63"/>
        <v>Odisha</v>
      </c>
      <c r="AE445" t="str">
        <f t="shared" si="64"/>
        <v>Bhubaneswar</v>
      </c>
      <c r="AF445" t="str">
        <f t="shared" si="65"/>
        <v>Furniture</v>
      </c>
      <c r="AG445" t="str">
        <f t="shared" si="66"/>
        <v>Furnishings</v>
      </c>
      <c r="AH445" t="str">
        <f t="shared" si="67"/>
        <v>Basic Furnishings 563</v>
      </c>
      <c r="AI445" t="str">
        <f t="shared" si="68"/>
        <v>First Class</v>
      </c>
      <c r="AJ445" s="3" t="str">
        <f t="shared" si="69"/>
        <v>anomaly</v>
      </c>
      <c r="AK445">
        <f t="shared" si="70"/>
        <v>3</v>
      </c>
    </row>
    <row r="446" spans="1:37">
      <c r="A446" t="s">
        <v>2184</v>
      </c>
      <c r="B446" t="s">
        <v>2185</v>
      </c>
      <c r="C446" t="s">
        <v>1857</v>
      </c>
      <c r="D446" t="s">
        <v>2186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2187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  <c r="W446" t="s">
        <v>2184</v>
      </c>
      <c r="X446" t="str">
        <v>12-08-25</v>
      </c>
      <c r="Y446" t="str">
        <v>16-08-25</v>
      </c>
      <c r="Z446" t="s">
        <v>2186</v>
      </c>
      <c r="AA446" t="str">
        <v>Ananya Rao</v>
      </c>
      <c r="AB446" t="str">
        <f t="shared" si="61"/>
        <v>Consumer</v>
      </c>
      <c r="AC446" t="str">
        <f t="shared" si="62"/>
        <v>East</v>
      </c>
      <c r="AD446" t="str">
        <f t="shared" si="63"/>
        <v>Assam</v>
      </c>
      <c r="AE446" t="str">
        <f t="shared" si="64"/>
        <v>Guwahati</v>
      </c>
      <c r="AF446" t="str">
        <f t="shared" si="65"/>
        <v>Technology</v>
      </c>
      <c r="AG446" t="str">
        <f t="shared" si="66"/>
        <v>Accessories</v>
      </c>
      <c r="AH446" t="str">
        <f t="shared" si="67"/>
        <v>Prime Accessories 482</v>
      </c>
      <c r="AI446" t="str">
        <f t="shared" si="68"/>
        <v>Same Day</v>
      </c>
      <c r="AJ446" s="3" t="str">
        <f t="shared" si="69"/>
        <v>anomaly</v>
      </c>
      <c r="AK446">
        <f t="shared" si="70"/>
        <v>4</v>
      </c>
    </row>
    <row r="447" spans="1:37">
      <c r="A447" t="s">
        <v>2188</v>
      </c>
      <c r="B447" t="s">
        <v>2189</v>
      </c>
      <c r="C447" t="s">
        <v>2190</v>
      </c>
      <c r="D447" t="s">
        <v>2191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2192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  <c r="W447" t="s">
        <v>2188</v>
      </c>
      <c r="X447" t="str">
        <v>05-09-24</v>
      </c>
      <c r="Y447" t="str">
        <v>05-05-24</v>
      </c>
      <c r="Z447" t="s">
        <v>2191</v>
      </c>
      <c r="AA447" t="str">
        <v>Arjun Bose</v>
      </c>
      <c r="AB447" t="str">
        <f t="shared" si="61"/>
        <v>Consumer</v>
      </c>
      <c r="AC447" t="str">
        <f t="shared" si="62"/>
        <v>East</v>
      </c>
      <c r="AD447" t="str">
        <f t="shared" si="63"/>
        <v>Assam</v>
      </c>
      <c r="AE447" t="str">
        <f t="shared" si="64"/>
        <v>Guwahati</v>
      </c>
      <c r="AF447" t="str">
        <f t="shared" si="65"/>
        <v>Furniture</v>
      </c>
      <c r="AG447" t="str">
        <f t="shared" si="66"/>
        <v>Bookcases</v>
      </c>
      <c r="AH447" t="str">
        <f t="shared" si="67"/>
        <v>Eco Bookcases 215</v>
      </c>
      <c r="AI447" t="str">
        <f t="shared" si="68"/>
        <v>Same Day</v>
      </c>
      <c r="AJ447" s="3" t="str">
        <f t="shared" si="69"/>
        <v xml:space="preserve">  </v>
      </c>
      <c r="AK447">
        <f t="shared" si="70"/>
        <v>-123</v>
      </c>
    </row>
    <row r="448" spans="1:37">
      <c r="A448" t="s">
        <v>2193</v>
      </c>
      <c r="B448" t="s">
        <v>2194</v>
      </c>
      <c r="C448" t="s">
        <v>2195</v>
      </c>
      <c r="D448" t="s">
        <v>2196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2197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  <c r="W448" t="s">
        <v>2193</v>
      </c>
      <c r="X448" t="str">
        <v>18-09-25</v>
      </c>
      <c r="Y448" t="str">
        <v>19-09-25</v>
      </c>
      <c r="Z448" t="s">
        <v>2196</v>
      </c>
      <c r="AA448" t="str">
        <v>Sneha Kapoor</v>
      </c>
      <c r="AB448" t="str">
        <f t="shared" si="61"/>
        <v>Home Office</v>
      </c>
      <c r="AC448" t="str">
        <f t="shared" si="62"/>
        <v>South</v>
      </c>
      <c r="AD448" t="str">
        <f t="shared" si="63"/>
        <v>Andhra Pradesh</v>
      </c>
      <c r="AE448" t="str">
        <f t="shared" si="64"/>
        <v>Vijayawada</v>
      </c>
      <c r="AF448" t="str">
        <f t="shared" si="65"/>
        <v>Office Supplies</v>
      </c>
      <c r="AG448" t="str">
        <f t="shared" si="66"/>
        <v>Storage</v>
      </c>
      <c r="AH448" t="str">
        <f t="shared" si="67"/>
        <v>Eco Storage 793</v>
      </c>
      <c r="AI448" t="str">
        <f t="shared" si="68"/>
        <v>Same Day</v>
      </c>
      <c r="AJ448" s="3" t="str">
        <f t="shared" si="69"/>
        <v>anomaly</v>
      </c>
      <c r="AK448">
        <f t="shared" si="70"/>
        <v>1</v>
      </c>
    </row>
    <row r="449" spans="1:37">
      <c r="A449" t="s">
        <v>2198</v>
      </c>
      <c r="B449" t="s">
        <v>943</v>
      </c>
      <c r="C449" t="s">
        <v>2199</v>
      </c>
      <c r="D449" t="s">
        <v>2200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2201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  <c r="W449" t="s">
        <v>2198</v>
      </c>
      <c r="X449" t="str">
        <v>10-08-25</v>
      </c>
      <c r="Y449" t="str">
        <v>10-08-25</v>
      </c>
      <c r="Z449" t="s">
        <v>2200</v>
      </c>
      <c r="AA449" t="str">
        <v>Rohan Mehta</v>
      </c>
      <c r="AB449" t="str">
        <f t="shared" si="61"/>
        <v>Home Office</v>
      </c>
      <c r="AC449" t="str">
        <f t="shared" si="62"/>
        <v>South</v>
      </c>
      <c r="AD449" t="str">
        <f t="shared" si="63"/>
        <v>Telangana</v>
      </c>
      <c r="AE449" t="str">
        <f t="shared" si="64"/>
        <v>Hyderabad</v>
      </c>
      <c r="AF449" t="str">
        <f t="shared" si="65"/>
        <v>Furniture</v>
      </c>
      <c r="AG449" t="str">
        <f t="shared" si="66"/>
        <v>Bookcases</v>
      </c>
      <c r="AH449" t="str">
        <f t="shared" si="67"/>
        <v>Basic Bookcases 182</v>
      </c>
      <c r="AI449" t="str">
        <f t="shared" si="68"/>
        <v>Standard Class</v>
      </c>
      <c r="AJ449" s="3" t="str">
        <f t="shared" si="69"/>
        <v xml:space="preserve">  </v>
      </c>
      <c r="AK449">
        <f t="shared" si="70"/>
        <v>0</v>
      </c>
    </row>
    <row r="450" spans="1:37">
      <c r="A450" t="s">
        <v>2202</v>
      </c>
      <c r="B450" t="s">
        <v>2203</v>
      </c>
      <c r="C450" t="s">
        <v>327</v>
      </c>
      <c r="D450" t="s">
        <v>2204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2205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  <c r="W450" t="s">
        <v>2202</v>
      </c>
      <c r="X450" t="str">
        <v>invalid date</v>
      </c>
      <c r="Y450" t="str">
        <v>18-01-24</v>
      </c>
      <c r="Z450" t="s">
        <v>2204</v>
      </c>
      <c r="AA450" t="str">
        <v>Mira Das</v>
      </c>
      <c r="AB450" t="str">
        <f t="shared" si="61"/>
        <v>Small Business</v>
      </c>
      <c r="AC450" t="str">
        <f t="shared" si="62"/>
        <v>South</v>
      </c>
      <c r="AD450" t="str">
        <f t="shared" si="63"/>
        <v>Andhra Pradesh</v>
      </c>
      <c r="AE450" t="str">
        <f t="shared" si="64"/>
        <v>Vijayawada</v>
      </c>
      <c r="AF450" t="str">
        <f t="shared" si="65"/>
        <v>Furniture</v>
      </c>
      <c r="AG450" t="str">
        <f t="shared" si="66"/>
        <v>Chairs</v>
      </c>
      <c r="AH450" t="str">
        <f t="shared" si="67"/>
        <v>Prime Chairs 631</v>
      </c>
      <c r="AI450" t="str">
        <f t="shared" si="68"/>
        <v>First Class</v>
      </c>
      <c r="AJ450" s="3" t="str">
        <f t="shared" si="69"/>
        <v>Invalid</v>
      </c>
      <c r="AK450" t="str">
        <f t="shared" si="70"/>
        <v>invalid date</v>
      </c>
    </row>
    <row r="451" spans="1:37">
      <c r="A451" t="s">
        <v>2206</v>
      </c>
      <c r="B451" t="s">
        <v>2207</v>
      </c>
      <c r="C451" t="s">
        <v>2208</v>
      </c>
      <c r="D451" t="s">
        <v>2041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2209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  <c r="W451" t="s">
        <v>2206</v>
      </c>
      <c r="X451" t="str">
        <v>06-06-24</v>
      </c>
      <c r="Y451" t="str">
        <v>13-06-24</v>
      </c>
      <c r="Z451" t="s">
        <v>2041</v>
      </c>
      <c r="AA451" t="str">
        <v>Aditi Sen</v>
      </c>
      <c r="AB451" t="str">
        <f t="shared" ref="AB451:AB514" si="71">TRIM(PROPER(F:F))</f>
        <v>Corporate</v>
      </c>
      <c r="AC451" t="str">
        <f t="shared" ref="AC451:AC514" si="72">TRIM(PROPER(G:G))</f>
        <v>East</v>
      </c>
      <c r="AD451" t="str">
        <f t="shared" ref="AD451:AD514" si="73">TRIM(PROPER(H:H))</f>
        <v>Assam</v>
      </c>
      <c r="AE451" t="str">
        <f t="shared" ref="AE451:AE514" si="74">TRIM(PROPER(I:I))</f>
        <v>Guwahati</v>
      </c>
      <c r="AF451" t="str">
        <f t="shared" ref="AF451:AF514" si="75">TRIM(PROPER(J:J))</f>
        <v>Technology</v>
      </c>
      <c r="AG451" t="str">
        <f t="shared" ref="AG451:AG514" si="76">TRIM(PROPER(K:K))</f>
        <v>Machines</v>
      </c>
      <c r="AH451" t="str">
        <f t="shared" ref="AH451:AH514" si="77">TRIM(PROPER(L:L))</f>
        <v>Basic Machines 808</v>
      </c>
      <c r="AI451" t="str">
        <f t="shared" ref="AI451:AI514" si="78">TRIM(PROPER(M:M))</f>
        <v>Second Class</v>
      </c>
      <c r="AJ451" s="3" t="str">
        <f t="shared" ref="AJ451:AJ514" si="79">IF(OR(X:X="Invalid Date",Y:Y="Invalid Date"),"Invalid",(IF(X:X&lt;Y:Y,"anomaly", "  ")))</f>
        <v>anomaly</v>
      </c>
      <c r="AK451">
        <f t="shared" ref="AK451:AK514" si="80">IFERROR(Y451-X451, "invalid date")</f>
        <v>7</v>
      </c>
    </row>
    <row r="452" spans="1:37">
      <c r="A452" t="s">
        <v>2210</v>
      </c>
      <c r="B452" t="s">
        <v>2211</v>
      </c>
      <c r="C452" t="s">
        <v>1575</v>
      </c>
      <c r="D452" t="s">
        <v>2212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2213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  <c r="W452" t="s">
        <v>2210</v>
      </c>
      <c r="X452" t="str">
        <v>06-12-25</v>
      </c>
      <c r="Y452" t="str">
        <v>19-06-25</v>
      </c>
      <c r="Z452" t="s">
        <v>2212</v>
      </c>
      <c r="AA452" t="str">
        <v>Ananya Rao</v>
      </c>
      <c r="AB452" t="str">
        <f t="shared" si="71"/>
        <v>Corporate</v>
      </c>
      <c r="AC452" t="str">
        <f t="shared" si="72"/>
        <v>North</v>
      </c>
      <c r="AD452" t="str">
        <f t="shared" si="73"/>
        <v>Delhi</v>
      </c>
      <c r="AE452" t="str">
        <f t="shared" si="74"/>
        <v>New Delhi</v>
      </c>
      <c r="AF452" t="str">
        <f t="shared" si="75"/>
        <v>Furniture</v>
      </c>
      <c r="AG452" t="str">
        <f t="shared" si="76"/>
        <v>Chairs</v>
      </c>
      <c r="AH452" t="str">
        <f t="shared" si="77"/>
        <v>Pro Chairs 302</v>
      </c>
      <c r="AI452" t="str">
        <f t="shared" si="78"/>
        <v>Standard Class</v>
      </c>
      <c r="AJ452" s="3" t="str">
        <f t="shared" si="79"/>
        <v>anomaly</v>
      </c>
      <c r="AK452">
        <f t="shared" si="80"/>
        <v>-170</v>
      </c>
    </row>
    <row r="453" spans="1:37">
      <c r="A453" t="s">
        <v>2214</v>
      </c>
      <c r="B453" t="s">
        <v>2215</v>
      </c>
      <c r="C453" t="s">
        <v>2216</v>
      </c>
      <c r="D453" t="s">
        <v>2217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2218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  <c r="W453" t="s">
        <v>2214</v>
      </c>
      <c r="X453" t="str">
        <v>24-03-24</v>
      </c>
      <c r="Y453" t="str">
        <v>26-03-24</v>
      </c>
      <c r="Z453" t="s">
        <v>2217</v>
      </c>
      <c r="AA453" t="str">
        <v>Rohan Mehta</v>
      </c>
      <c r="AB453" t="str">
        <f t="shared" si="71"/>
        <v>Small Business</v>
      </c>
      <c r="AC453" t="str">
        <f t="shared" si="72"/>
        <v>North</v>
      </c>
      <c r="AD453" t="str">
        <f t="shared" si="73"/>
        <v>Haryana</v>
      </c>
      <c r="AE453" t="str">
        <f t="shared" si="74"/>
        <v>Gurugram</v>
      </c>
      <c r="AF453" t="str">
        <f t="shared" si="75"/>
        <v>Office Supplies</v>
      </c>
      <c r="AG453" t="str">
        <f t="shared" si="76"/>
        <v>Paper</v>
      </c>
      <c r="AH453" t="str">
        <f t="shared" si="77"/>
        <v>Classic Paper 272</v>
      </c>
      <c r="AI453" t="str">
        <f t="shared" si="78"/>
        <v>Second Class</v>
      </c>
      <c r="AJ453" s="3" t="str">
        <f t="shared" si="79"/>
        <v>anomaly</v>
      </c>
      <c r="AK453">
        <f t="shared" si="80"/>
        <v>2</v>
      </c>
    </row>
    <row r="454" spans="1:37">
      <c r="A454" t="s">
        <v>2219</v>
      </c>
      <c r="B454" t="s">
        <v>2220</v>
      </c>
      <c r="C454" t="s">
        <v>1373</v>
      </c>
      <c r="D454" t="s">
        <v>2221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2222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  <c r="W454" t="s">
        <v>2219</v>
      </c>
      <c r="X454" t="str">
        <v>10-05-24</v>
      </c>
      <c r="Y454" t="str">
        <v>16-05-24</v>
      </c>
      <c r="Z454" t="s">
        <v>2221</v>
      </c>
      <c r="AA454" t="str">
        <v>Diya Patel</v>
      </c>
      <c r="AB454" t="str">
        <f t="shared" si="71"/>
        <v>Home Office</v>
      </c>
      <c r="AC454" t="str">
        <f t="shared" si="72"/>
        <v>East</v>
      </c>
      <c r="AD454" t="str">
        <f t="shared" si="73"/>
        <v>Jharkhand</v>
      </c>
      <c r="AE454" t="str">
        <f t="shared" si="74"/>
        <v>Ranchi</v>
      </c>
      <c r="AF454" t="str">
        <f t="shared" si="75"/>
        <v>Technology</v>
      </c>
      <c r="AG454" t="str">
        <f t="shared" si="76"/>
        <v>Accessories</v>
      </c>
      <c r="AH454" t="str">
        <f t="shared" si="77"/>
        <v>Smart Accessories 149</v>
      </c>
      <c r="AI454" t="str">
        <f t="shared" si="78"/>
        <v>Second Class</v>
      </c>
      <c r="AJ454" s="3" t="str">
        <f t="shared" si="79"/>
        <v>anomaly</v>
      </c>
      <c r="AK454">
        <f t="shared" si="80"/>
        <v>6</v>
      </c>
    </row>
    <row r="455" spans="1:37">
      <c r="A455" t="s">
        <v>2223</v>
      </c>
      <c r="B455" t="s">
        <v>2224</v>
      </c>
      <c r="C455" t="s">
        <v>2225</v>
      </c>
      <c r="D455" t="s">
        <v>2226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2227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  <c r="W455" t="s">
        <v>2223</v>
      </c>
      <c r="X455" t="str">
        <v>05-03-25</v>
      </c>
      <c r="Y455" t="str">
        <v>11-05-25</v>
      </c>
      <c r="Z455" t="s">
        <v>2226</v>
      </c>
      <c r="AA455" t="str">
        <v>Rohan Mehta</v>
      </c>
      <c r="AB455" t="str">
        <f t="shared" si="71"/>
        <v>Small Business</v>
      </c>
      <c r="AC455" t="str">
        <f t="shared" si="72"/>
        <v>West</v>
      </c>
      <c r="AD455" t="str">
        <f t="shared" si="73"/>
        <v>Madhya Pradesh</v>
      </c>
      <c r="AE455" t="str">
        <f t="shared" si="74"/>
        <v>Indore</v>
      </c>
      <c r="AF455" t="str">
        <f t="shared" si="75"/>
        <v>Office Supplies</v>
      </c>
      <c r="AG455" t="str">
        <f t="shared" si="76"/>
        <v>Labels</v>
      </c>
      <c r="AH455" t="str">
        <f t="shared" si="77"/>
        <v>Elite Labels 322</v>
      </c>
      <c r="AI455" t="str">
        <f t="shared" si="78"/>
        <v>Same Day</v>
      </c>
      <c r="AJ455" s="3" t="str">
        <f t="shared" si="79"/>
        <v>anomaly</v>
      </c>
      <c r="AK455">
        <f t="shared" si="80"/>
        <v>67</v>
      </c>
    </row>
    <row r="456" spans="1:37">
      <c r="A456" t="s">
        <v>2228</v>
      </c>
      <c r="B456" t="s">
        <v>2229</v>
      </c>
      <c r="C456" t="s">
        <v>2230</v>
      </c>
      <c r="D456" t="s">
        <v>2231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2232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  <c r="W456" t="s">
        <v>2228</v>
      </c>
      <c r="X456" t="str">
        <v>23-03-25</v>
      </c>
      <c r="Y456" t="str">
        <v>28-03-25</v>
      </c>
      <c r="Z456" t="s">
        <v>2231</v>
      </c>
      <c r="AA456" t="str">
        <v>Vikram Iyer</v>
      </c>
      <c r="AB456" t="str">
        <f t="shared" si="71"/>
        <v>Small Business</v>
      </c>
      <c r="AC456" t="str">
        <f t="shared" si="72"/>
        <v>North</v>
      </c>
      <c r="AD456" t="str">
        <f t="shared" si="73"/>
        <v>Rajasthan</v>
      </c>
      <c r="AE456" t="str">
        <f t="shared" si="74"/>
        <v>Jaipur</v>
      </c>
      <c r="AF456" t="str">
        <f t="shared" si="75"/>
        <v>Furniture</v>
      </c>
      <c r="AG456" t="str">
        <f t="shared" si="76"/>
        <v>Furnishings</v>
      </c>
      <c r="AH456" t="str">
        <f t="shared" si="77"/>
        <v>Max Furnishings 821</v>
      </c>
      <c r="AI456" t="str">
        <f t="shared" si="78"/>
        <v>Standard Class</v>
      </c>
      <c r="AJ456" s="3" t="str">
        <f t="shared" si="79"/>
        <v>anomaly</v>
      </c>
      <c r="AK456">
        <f t="shared" si="80"/>
        <v>5</v>
      </c>
    </row>
    <row r="457" spans="1:37">
      <c r="A457" t="s">
        <v>2233</v>
      </c>
      <c r="B457" t="s">
        <v>2234</v>
      </c>
      <c r="C457" t="s">
        <v>2235</v>
      </c>
      <c r="D457" t="s">
        <v>2236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2237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  <c r="W457" t="s">
        <v>2233</v>
      </c>
      <c r="X457" t="str">
        <v>18-07-24</v>
      </c>
      <c r="Y457" t="str">
        <v>22-07-24</v>
      </c>
      <c r="Z457" t="s">
        <v>2236</v>
      </c>
      <c r="AA457" t="str">
        <v>Neha Gupta</v>
      </c>
      <c r="AB457" t="str">
        <f t="shared" si="71"/>
        <v>Small Business</v>
      </c>
      <c r="AC457" t="str">
        <f t="shared" si="72"/>
        <v>South</v>
      </c>
      <c r="AD457" t="str">
        <f t="shared" si="73"/>
        <v>Telangana</v>
      </c>
      <c r="AE457" t="str">
        <f t="shared" si="74"/>
        <v>Hyderabad</v>
      </c>
      <c r="AF457" t="str">
        <f t="shared" si="75"/>
        <v>Office Supplies</v>
      </c>
      <c r="AG457" t="str">
        <f t="shared" si="76"/>
        <v>Art</v>
      </c>
      <c r="AH457" t="str">
        <f t="shared" si="77"/>
        <v>Basic Art 556</v>
      </c>
      <c r="AI457" t="str">
        <f t="shared" si="78"/>
        <v>Standard Class</v>
      </c>
      <c r="AJ457" s="3" t="str">
        <f t="shared" si="79"/>
        <v>anomaly</v>
      </c>
      <c r="AK457">
        <f t="shared" si="80"/>
        <v>4</v>
      </c>
    </row>
    <row r="458" spans="1:37">
      <c r="A458" t="s">
        <v>2238</v>
      </c>
      <c r="B458" t="s">
        <v>2086</v>
      </c>
      <c r="C458" t="s">
        <v>2086</v>
      </c>
      <c r="D458" t="s">
        <v>2239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2240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  <c r="W458" t="s">
        <v>2238</v>
      </c>
      <c r="X458" t="str">
        <v>20-02-24</v>
      </c>
      <c r="Y458" t="str">
        <v>20-02-24</v>
      </c>
      <c r="Z458" t="s">
        <v>2239</v>
      </c>
      <c r="AA458" t="str">
        <v>Neha Gupta</v>
      </c>
      <c r="AB458" t="str">
        <f t="shared" si="71"/>
        <v>Corporate</v>
      </c>
      <c r="AC458" t="str">
        <f t="shared" si="72"/>
        <v>North</v>
      </c>
      <c r="AD458" t="str">
        <f t="shared" si="73"/>
        <v>Uttar Pradesh</v>
      </c>
      <c r="AE458" t="str">
        <f t="shared" si="74"/>
        <v>Noida</v>
      </c>
      <c r="AF458" t="str">
        <f t="shared" si="75"/>
        <v>Technology</v>
      </c>
      <c r="AG458" t="str">
        <f t="shared" si="76"/>
        <v>Accessories</v>
      </c>
      <c r="AH458" t="str">
        <f t="shared" si="77"/>
        <v>Smart Accessories 265</v>
      </c>
      <c r="AI458" t="str">
        <f t="shared" si="78"/>
        <v>Same Day</v>
      </c>
      <c r="AJ458" s="3" t="str">
        <f t="shared" si="79"/>
        <v xml:space="preserve">  </v>
      </c>
      <c r="AK458">
        <f t="shared" si="80"/>
        <v>0</v>
      </c>
    </row>
    <row r="459" spans="1:37">
      <c r="A459" t="s">
        <v>2241</v>
      </c>
      <c r="B459" t="s">
        <v>2242</v>
      </c>
      <c r="C459" t="s">
        <v>2243</v>
      </c>
      <c r="D459" t="s">
        <v>2244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2245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  <c r="W459" t="s">
        <v>2241</v>
      </c>
      <c r="X459" t="str">
        <v>05-04-24</v>
      </c>
      <c r="Y459" t="str">
        <v>04-05-24</v>
      </c>
      <c r="Z459" t="s">
        <v>2244</v>
      </c>
      <c r="AA459" t="str">
        <v>Mira Das</v>
      </c>
      <c r="AB459" t="str">
        <f t="shared" si="71"/>
        <v>Small Business</v>
      </c>
      <c r="AC459" t="str">
        <f t="shared" si="72"/>
        <v>West</v>
      </c>
      <c r="AD459" t="str">
        <f t="shared" si="73"/>
        <v>Goa</v>
      </c>
      <c r="AE459" t="str">
        <f t="shared" si="74"/>
        <v>Panaji</v>
      </c>
      <c r="AF459" t="str">
        <f t="shared" si="75"/>
        <v>Furniture</v>
      </c>
      <c r="AG459" t="str">
        <f t="shared" si="76"/>
        <v>Tables</v>
      </c>
      <c r="AH459" t="str">
        <f t="shared" si="77"/>
        <v>Elite Tables 418</v>
      </c>
      <c r="AI459" t="str">
        <f t="shared" si="78"/>
        <v>Standard Class</v>
      </c>
      <c r="AJ459" s="3" t="str">
        <f t="shared" si="79"/>
        <v xml:space="preserve">  </v>
      </c>
      <c r="AK459">
        <f t="shared" si="80"/>
        <v>29</v>
      </c>
    </row>
    <row r="460" spans="1:37">
      <c r="A460" t="s">
        <v>2246</v>
      </c>
      <c r="B460" t="s">
        <v>2247</v>
      </c>
      <c r="C460" t="s">
        <v>859</v>
      </c>
      <c r="D460" t="s">
        <v>2248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2249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  <c r="W460" t="s">
        <v>2246</v>
      </c>
      <c r="X460" t="str">
        <v>10-02-24</v>
      </c>
      <c r="Y460" t="str">
        <v>02-11-24</v>
      </c>
      <c r="Z460" t="s">
        <v>2248</v>
      </c>
      <c r="AA460" t="str">
        <v>Karan Malhotra</v>
      </c>
      <c r="AB460" t="str">
        <f t="shared" si="71"/>
        <v>Corporate</v>
      </c>
      <c r="AC460" t="str">
        <f t="shared" si="72"/>
        <v>North</v>
      </c>
      <c r="AD460" t="str">
        <f t="shared" si="73"/>
        <v>Rajasthan</v>
      </c>
      <c r="AE460" t="str">
        <f t="shared" si="74"/>
        <v>Jaipur</v>
      </c>
      <c r="AF460" t="str">
        <f t="shared" si="75"/>
        <v>Technology</v>
      </c>
      <c r="AG460" t="str">
        <f t="shared" si="76"/>
        <v>Phones</v>
      </c>
      <c r="AH460" t="str">
        <f t="shared" si="77"/>
        <v>Pro Phones 907</v>
      </c>
      <c r="AI460" t="str">
        <f t="shared" si="78"/>
        <v>Second Class</v>
      </c>
      <c r="AJ460" s="3" t="str">
        <f t="shared" si="79"/>
        <v xml:space="preserve">  </v>
      </c>
      <c r="AK460">
        <f t="shared" si="80"/>
        <v>266</v>
      </c>
    </row>
    <row r="461" spans="1:37">
      <c r="A461" t="s">
        <v>2250</v>
      </c>
      <c r="B461" t="s">
        <v>2251</v>
      </c>
      <c r="C461" t="s">
        <v>2181</v>
      </c>
      <c r="D461" t="s">
        <v>2252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2253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  <c r="W461" t="s">
        <v>2250</v>
      </c>
      <c r="X461" t="str">
        <v>invalid date</v>
      </c>
      <c r="Y461" t="str">
        <v>04-04-24</v>
      </c>
      <c r="Z461" t="s">
        <v>2252</v>
      </c>
      <c r="AA461" t="str">
        <v>Ananya Rao</v>
      </c>
      <c r="AB461" t="str">
        <f t="shared" si="71"/>
        <v>Home Office</v>
      </c>
      <c r="AC461" t="str">
        <f t="shared" si="72"/>
        <v>West</v>
      </c>
      <c r="AD461" t="str">
        <f t="shared" si="73"/>
        <v>Goa</v>
      </c>
      <c r="AE461" t="str">
        <f t="shared" si="74"/>
        <v>Panaji</v>
      </c>
      <c r="AF461" t="str">
        <f t="shared" si="75"/>
        <v>Office Supplies</v>
      </c>
      <c r="AG461" t="str">
        <f t="shared" si="76"/>
        <v>Paper</v>
      </c>
      <c r="AH461" t="str">
        <f t="shared" si="77"/>
        <v>Basic Paper 233</v>
      </c>
      <c r="AI461" t="str">
        <f t="shared" si="78"/>
        <v>First Class</v>
      </c>
      <c r="AJ461" s="3" t="str">
        <f t="shared" si="79"/>
        <v>Invalid</v>
      </c>
      <c r="AK461" t="str">
        <f t="shared" si="80"/>
        <v>invalid date</v>
      </c>
    </row>
    <row r="462" spans="1:37">
      <c r="A462" t="s">
        <v>2254</v>
      </c>
      <c r="B462" t="s">
        <v>2255</v>
      </c>
      <c r="C462" t="s">
        <v>2256</v>
      </c>
      <c r="D462" t="s">
        <v>2257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2258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  <c r="W462" t="s">
        <v>2254</v>
      </c>
      <c r="X462" t="str">
        <v>30-09-25</v>
      </c>
      <c r="Y462" t="str">
        <v>06-10-25</v>
      </c>
      <c r="Z462" t="s">
        <v>2257</v>
      </c>
      <c r="AA462" t="str">
        <v>Aarav Sharma</v>
      </c>
      <c r="AB462" t="str">
        <f t="shared" si="71"/>
        <v>Corporate</v>
      </c>
      <c r="AC462" s="5" t="s">
        <v>4116</v>
      </c>
      <c r="AD462" t="str">
        <f t="shared" si="73"/>
        <v>Rajasthan</v>
      </c>
      <c r="AE462" t="str">
        <f t="shared" si="74"/>
        <v>Jaipur</v>
      </c>
      <c r="AF462" t="str">
        <f t="shared" si="75"/>
        <v>Technology</v>
      </c>
      <c r="AG462" t="str">
        <f t="shared" si="76"/>
        <v>Copiers</v>
      </c>
      <c r="AH462" t="str">
        <f t="shared" si="77"/>
        <v>Eco Copiers 603</v>
      </c>
      <c r="AI462" t="str">
        <f t="shared" si="78"/>
        <v>Second Class</v>
      </c>
      <c r="AJ462" s="3" t="str">
        <f t="shared" si="79"/>
        <v xml:space="preserve">  </v>
      </c>
      <c r="AK462">
        <f t="shared" si="80"/>
        <v>6</v>
      </c>
    </row>
    <row r="463" spans="1:37">
      <c r="A463" t="s">
        <v>2259</v>
      </c>
      <c r="B463" t="s">
        <v>2260</v>
      </c>
      <c r="C463" t="s">
        <v>1520</v>
      </c>
      <c r="D463" t="s">
        <v>2261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2262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  <c r="W463" t="s">
        <v>2259</v>
      </c>
      <c r="X463" t="str">
        <v>invalid date</v>
      </c>
      <c r="Y463" t="str">
        <v>invalid date</v>
      </c>
      <c r="Z463" t="s">
        <v>2261</v>
      </c>
      <c r="AA463" t="str">
        <v>Neha Gupta</v>
      </c>
      <c r="AB463" t="str">
        <f t="shared" si="71"/>
        <v>Corporate</v>
      </c>
      <c r="AC463" t="str">
        <f t="shared" si="72"/>
        <v>South</v>
      </c>
      <c r="AD463" t="str">
        <f t="shared" si="73"/>
        <v>Andhra Pradesh</v>
      </c>
      <c r="AE463" t="str">
        <f t="shared" si="74"/>
        <v>Vijayawada</v>
      </c>
      <c r="AF463" t="str">
        <f t="shared" si="75"/>
        <v>Office Supplies</v>
      </c>
      <c r="AG463" t="str">
        <f t="shared" si="76"/>
        <v>Paper</v>
      </c>
      <c r="AH463" t="str">
        <f t="shared" si="77"/>
        <v>Max Paper 700</v>
      </c>
      <c r="AI463" t="str">
        <f t="shared" si="78"/>
        <v>Standard Class</v>
      </c>
      <c r="AJ463" s="3" t="str">
        <f t="shared" si="79"/>
        <v>Invalid</v>
      </c>
      <c r="AK463" t="str">
        <f t="shared" si="80"/>
        <v>invalid date</v>
      </c>
    </row>
    <row r="464" spans="1:37">
      <c r="A464" t="s">
        <v>2263</v>
      </c>
      <c r="B464" t="s">
        <v>2006</v>
      </c>
      <c r="C464" t="s">
        <v>2264</v>
      </c>
      <c r="D464" t="s">
        <v>2265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2266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  <c r="W464" t="s">
        <v>2263</v>
      </c>
      <c r="X464" t="str">
        <v>invalid date</v>
      </c>
      <c r="Y464" t="str">
        <v>25-09-24</v>
      </c>
      <c r="Z464" t="s">
        <v>2265</v>
      </c>
      <c r="AA464" t="str">
        <v>Aarav Sharma</v>
      </c>
      <c r="AB464" t="str">
        <f t="shared" si="71"/>
        <v>Home Office</v>
      </c>
      <c r="AC464" t="str">
        <f t="shared" si="72"/>
        <v>North</v>
      </c>
      <c r="AD464" t="str">
        <f t="shared" si="73"/>
        <v>Delhi</v>
      </c>
      <c r="AE464" t="str">
        <f t="shared" si="74"/>
        <v>New Delhi</v>
      </c>
      <c r="AF464" t="str">
        <f t="shared" si="75"/>
        <v>Office Supplies</v>
      </c>
      <c r="AG464" t="str">
        <f t="shared" si="76"/>
        <v>Binders</v>
      </c>
      <c r="AH464" t="str">
        <f t="shared" si="77"/>
        <v>Pro Binders 404</v>
      </c>
      <c r="AI464" t="str">
        <f t="shared" si="78"/>
        <v>First Class</v>
      </c>
      <c r="AJ464" s="3" t="str">
        <f t="shared" si="79"/>
        <v>Invalid</v>
      </c>
      <c r="AK464" t="str">
        <f t="shared" si="80"/>
        <v>invalid date</v>
      </c>
    </row>
    <row r="465" spans="1:37">
      <c r="A465" t="s">
        <v>2267</v>
      </c>
      <c r="B465" t="s">
        <v>441</v>
      </c>
      <c r="C465" t="s">
        <v>2268</v>
      </c>
      <c r="D465" t="s">
        <v>2269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2270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  <c r="W465" t="s">
        <v>2267</v>
      </c>
      <c r="X465" t="str">
        <v>07-02-25</v>
      </c>
      <c r="Y465" t="str">
        <v>08-02-25</v>
      </c>
      <c r="Z465" t="s">
        <v>2269</v>
      </c>
      <c r="AA465" t="str">
        <v>Arjun Bose</v>
      </c>
      <c r="AB465" t="str">
        <f t="shared" si="71"/>
        <v>Corporate</v>
      </c>
      <c r="AC465" t="str">
        <f t="shared" si="72"/>
        <v>West</v>
      </c>
      <c r="AD465" t="str">
        <f t="shared" si="73"/>
        <v>Madhya Pradesh</v>
      </c>
      <c r="AE465" t="str">
        <f t="shared" si="74"/>
        <v>Indore</v>
      </c>
      <c r="AF465" t="str">
        <f t="shared" si="75"/>
        <v>Technology</v>
      </c>
      <c r="AG465" t="str">
        <f t="shared" si="76"/>
        <v>Phones</v>
      </c>
      <c r="AH465" t="str">
        <f t="shared" si="77"/>
        <v>Eco Phones 208</v>
      </c>
      <c r="AI465" t="str">
        <f t="shared" si="78"/>
        <v>Standard Class</v>
      </c>
      <c r="AJ465" s="3" t="str">
        <f t="shared" si="79"/>
        <v>anomaly</v>
      </c>
      <c r="AK465">
        <f t="shared" si="80"/>
        <v>1</v>
      </c>
    </row>
    <row r="466" spans="1:37">
      <c r="A466" t="s">
        <v>2271</v>
      </c>
      <c r="B466" t="s">
        <v>2272</v>
      </c>
      <c r="C466" t="s">
        <v>2273</v>
      </c>
      <c r="D466" t="s">
        <v>2274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2275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  <c r="W466" t="s">
        <v>2271</v>
      </c>
      <c r="X466" t="str">
        <v>11-03-25</v>
      </c>
      <c r="Y466" t="str">
        <v>invalid date</v>
      </c>
      <c r="Z466" t="s">
        <v>2274</v>
      </c>
      <c r="AA466" t="str">
        <v>Arjun Bose</v>
      </c>
      <c r="AB466" t="str">
        <f t="shared" si="71"/>
        <v>Corporate</v>
      </c>
      <c r="AC466" t="str">
        <f t="shared" si="72"/>
        <v>East</v>
      </c>
      <c r="AD466" t="str">
        <f t="shared" si="73"/>
        <v>Bihar</v>
      </c>
      <c r="AE466" t="str">
        <f t="shared" si="74"/>
        <v>Patna</v>
      </c>
      <c r="AF466" t="str">
        <f t="shared" si="75"/>
        <v>Office Supplies</v>
      </c>
      <c r="AG466" t="str">
        <f t="shared" si="76"/>
        <v>Paper</v>
      </c>
      <c r="AH466" t="str">
        <f t="shared" si="77"/>
        <v>Elite Paper 106</v>
      </c>
      <c r="AI466" t="str">
        <f t="shared" si="78"/>
        <v>Same Day</v>
      </c>
      <c r="AJ466" s="3" t="str">
        <f t="shared" si="79"/>
        <v>Invalid</v>
      </c>
      <c r="AK466" t="str">
        <f t="shared" si="80"/>
        <v>invalid date</v>
      </c>
    </row>
    <row r="467" spans="1:37">
      <c r="A467" t="s">
        <v>2276</v>
      </c>
      <c r="B467" t="s">
        <v>2277</v>
      </c>
      <c r="C467" t="s">
        <v>2278</v>
      </c>
      <c r="D467" t="s">
        <v>2279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2280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  <c r="W467" t="s">
        <v>2276</v>
      </c>
      <c r="X467" t="str">
        <v>29-01-24</v>
      </c>
      <c r="Y467" t="str">
        <v>06-02-24</v>
      </c>
      <c r="Z467" t="s">
        <v>2279</v>
      </c>
      <c r="AA467" t="str">
        <v>Aarav Sharma</v>
      </c>
      <c r="AB467" t="str">
        <f t="shared" si="71"/>
        <v>Small Business</v>
      </c>
      <c r="AC467" t="str">
        <f t="shared" si="72"/>
        <v>West</v>
      </c>
      <c r="AD467" t="str">
        <f t="shared" si="73"/>
        <v>Madhya Pradesh</v>
      </c>
      <c r="AE467" t="str">
        <f t="shared" si="74"/>
        <v>Indore</v>
      </c>
      <c r="AF467" t="str">
        <f t="shared" si="75"/>
        <v>Office Supplies</v>
      </c>
      <c r="AG467" t="str">
        <f t="shared" si="76"/>
        <v>Labels</v>
      </c>
      <c r="AH467" t="str">
        <f t="shared" si="77"/>
        <v>Eco Labels 914</v>
      </c>
      <c r="AI467" t="str">
        <f t="shared" si="78"/>
        <v>Standard Class</v>
      </c>
      <c r="AJ467" s="3" t="str">
        <f t="shared" si="79"/>
        <v xml:space="preserve">  </v>
      </c>
      <c r="AK467">
        <f t="shared" si="80"/>
        <v>8</v>
      </c>
    </row>
    <row r="468" spans="1:37">
      <c r="A468" t="s">
        <v>2281</v>
      </c>
      <c r="B468" t="s">
        <v>2282</v>
      </c>
      <c r="C468" t="s">
        <v>2283</v>
      </c>
      <c r="D468" t="s">
        <v>2284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2285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  <c r="W468" t="s">
        <v>2281</v>
      </c>
      <c r="X468" t="str">
        <v>04-01-24</v>
      </c>
      <c r="Y468" t="str">
        <v>01-08-24</v>
      </c>
      <c r="Z468" t="s">
        <v>2284</v>
      </c>
      <c r="AA468" t="str">
        <v>Mira Das</v>
      </c>
      <c r="AB468" t="str">
        <f t="shared" si="71"/>
        <v>Small Business</v>
      </c>
      <c r="AC468" t="str">
        <f t="shared" si="72"/>
        <v>East</v>
      </c>
      <c r="AD468" t="str">
        <f t="shared" si="73"/>
        <v>Bihar</v>
      </c>
      <c r="AE468" t="str">
        <f t="shared" si="74"/>
        <v>Patna</v>
      </c>
      <c r="AF468" t="str">
        <f t="shared" si="75"/>
        <v>Technology</v>
      </c>
      <c r="AG468" t="str">
        <f t="shared" si="76"/>
        <v>Accessories</v>
      </c>
      <c r="AH468" t="str">
        <f t="shared" si="77"/>
        <v>Max Accessories 486</v>
      </c>
      <c r="AI468" t="str">
        <f t="shared" si="78"/>
        <v>Same Day</v>
      </c>
      <c r="AJ468" s="3" t="str">
        <f t="shared" si="79"/>
        <v xml:space="preserve">  </v>
      </c>
      <c r="AK468">
        <f t="shared" si="80"/>
        <v>210</v>
      </c>
    </row>
    <row r="469" spans="1:37">
      <c r="A469" t="s">
        <v>2286</v>
      </c>
      <c r="B469" t="s">
        <v>2287</v>
      </c>
      <c r="C469" t="s">
        <v>1624</v>
      </c>
      <c r="D469" t="s">
        <v>2288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2289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  <c r="W469" t="s">
        <v>2286</v>
      </c>
      <c r="X469" t="str">
        <v>20-08-24</v>
      </c>
      <c r="Y469" t="str">
        <v>21-08-24</v>
      </c>
      <c r="Z469" t="s">
        <v>2288</v>
      </c>
      <c r="AA469" t="str">
        <v>Aditi Sen</v>
      </c>
      <c r="AB469" t="str">
        <f t="shared" si="71"/>
        <v>Corporate</v>
      </c>
      <c r="AC469" t="str">
        <f t="shared" si="72"/>
        <v>East</v>
      </c>
      <c r="AD469" t="str">
        <f t="shared" si="73"/>
        <v>Odisha</v>
      </c>
      <c r="AE469" t="str">
        <f t="shared" si="74"/>
        <v>Bhubaneswar</v>
      </c>
      <c r="AF469" t="str">
        <f t="shared" si="75"/>
        <v>Technology</v>
      </c>
      <c r="AG469" t="str">
        <f t="shared" si="76"/>
        <v>Copiers</v>
      </c>
      <c r="AH469" t="str">
        <f t="shared" si="77"/>
        <v>Max Copiers 867</v>
      </c>
      <c r="AI469" t="str">
        <f t="shared" si="78"/>
        <v>First Class</v>
      </c>
      <c r="AJ469" s="3" t="str">
        <f t="shared" si="79"/>
        <v>anomaly</v>
      </c>
      <c r="AK469">
        <f t="shared" si="80"/>
        <v>1</v>
      </c>
    </row>
    <row r="470" spans="1:37">
      <c r="A470" t="s">
        <v>2290</v>
      </c>
      <c r="B470" t="s">
        <v>2291</v>
      </c>
      <c r="C470" t="s">
        <v>2292</v>
      </c>
      <c r="D470" t="s">
        <v>2293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2294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  <c r="W470" t="s">
        <v>2290</v>
      </c>
      <c r="X470" t="str">
        <v>09-01-25</v>
      </c>
      <c r="Y470" t="str">
        <v>07-01-25</v>
      </c>
      <c r="Z470" t="s">
        <v>2293</v>
      </c>
      <c r="AA470" t="str">
        <v>Aarav Sharma</v>
      </c>
      <c r="AB470" t="str">
        <f t="shared" si="71"/>
        <v>Home Office</v>
      </c>
      <c r="AC470" t="str">
        <f t="shared" si="72"/>
        <v>East</v>
      </c>
      <c r="AD470" t="str">
        <f t="shared" si="73"/>
        <v>West Bengal</v>
      </c>
      <c r="AE470" t="str">
        <f t="shared" si="74"/>
        <v>Kolkata</v>
      </c>
      <c r="AF470" t="str">
        <f t="shared" si="75"/>
        <v>Office Supplies</v>
      </c>
      <c r="AG470" t="str">
        <f t="shared" si="76"/>
        <v>Binders</v>
      </c>
      <c r="AH470" t="str">
        <f t="shared" si="77"/>
        <v>Pro Binders 555</v>
      </c>
      <c r="AI470" t="str">
        <f t="shared" si="78"/>
        <v>Second Class</v>
      </c>
      <c r="AJ470" s="3" t="str">
        <f t="shared" si="79"/>
        <v xml:space="preserve">  </v>
      </c>
      <c r="AK470">
        <f t="shared" si="80"/>
        <v>-2</v>
      </c>
    </row>
    <row r="471" spans="1:37">
      <c r="A471" t="s">
        <v>2295</v>
      </c>
      <c r="B471" t="s">
        <v>2296</v>
      </c>
      <c r="C471" t="s">
        <v>2049</v>
      </c>
      <c r="D471" t="s">
        <v>2297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2298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  <c r="W471" t="s">
        <v>2295</v>
      </c>
      <c r="X471" t="str">
        <v>19-01-24</v>
      </c>
      <c r="Y471" t="str">
        <v>invalid date</v>
      </c>
      <c r="Z471" t="s">
        <v>2297</v>
      </c>
      <c r="AA471" t="str">
        <v>Aditi Sen</v>
      </c>
      <c r="AB471" t="str">
        <f t="shared" si="71"/>
        <v>Corporate</v>
      </c>
      <c r="AC471" t="str">
        <f t="shared" si="72"/>
        <v>West</v>
      </c>
      <c r="AD471" t="str">
        <f t="shared" si="73"/>
        <v>Goa</v>
      </c>
      <c r="AE471" t="str">
        <f t="shared" si="74"/>
        <v>Panaji</v>
      </c>
      <c r="AF471" t="str">
        <f t="shared" si="75"/>
        <v>Technology</v>
      </c>
      <c r="AG471" t="str">
        <f t="shared" si="76"/>
        <v>Copiers</v>
      </c>
      <c r="AH471" t="str">
        <f t="shared" si="77"/>
        <v>Pro Copiers 971</v>
      </c>
      <c r="AI471" t="str">
        <f t="shared" si="78"/>
        <v>First Class</v>
      </c>
      <c r="AJ471" s="3" t="str">
        <f t="shared" si="79"/>
        <v>Invalid</v>
      </c>
      <c r="AK471" t="str">
        <f t="shared" si="80"/>
        <v>invalid date</v>
      </c>
    </row>
    <row r="472" spans="1:37">
      <c r="A472" t="s">
        <v>2299</v>
      </c>
      <c r="B472" t="s">
        <v>2300</v>
      </c>
      <c r="C472" t="s">
        <v>1592</v>
      </c>
      <c r="D472" t="s">
        <v>2301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2302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  <c r="W472" t="s">
        <v>2299</v>
      </c>
      <c r="X472" t="str">
        <v>28-07-24</v>
      </c>
      <c r="Y472" t="str">
        <v>invalid date</v>
      </c>
      <c r="Z472" t="s">
        <v>2301</v>
      </c>
      <c r="AA472" t="str">
        <v>Aditi Sen</v>
      </c>
      <c r="AB472" t="str">
        <f t="shared" si="71"/>
        <v>Consumer</v>
      </c>
      <c r="AC472" t="str">
        <f t="shared" si="72"/>
        <v>North</v>
      </c>
      <c r="AD472" t="str">
        <f t="shared" si="73"/>
        <v>Rajasthan</v>
      </c>
      <c r="AE472" t="str">
        <f t="shared" si="74"/>
        <v>Jaipur</v>
      </c>
      <c r="AF472" t="str">
        <f t="shared" si="75"/>
        <v>Furniture</v>
      </c>
      <c r="AG472" t="str">
        <f t="shared" si="76"/>
        <v>Tables</v>
      </c>
      <c r="AH472" t="str">
        <f t="shared" si="77"/>
        <v>Pro Tables 833</v>
      </c>
      <c r="AI472" t="str">
        <f t="shared" si="78"/>
        <v>Same Day</v>
      </c>
      <c r="AJ472" s="3" t="str">
        <f t="shared" si="79"/>
        <v>Invalid</v>
      </c>
      <c r="AK472" t="str">
        <f t="shared" si="80"/>
        <v>invalid date</v>
      </c>
    </row>
    <row r="473" spans="1:37">
      <c r="A473" t="s">
        <v>2303</v>
      </c>
      <c r="B473" t="s">
        <v>2304</v>
      </c>
      <c r="C473" t="s">
        <v>2305</v>
      </c>
      <c r="D473" t="s">
        <v>2306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2307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  <c r="W473" t="s">
        <v>2303</v>
      </c>
      <c r="X473" t="str">
        <v>11-02-24</v>
      </c>
      <c r="Y473" t="str">
        <v>invalid date</v>
      </c>
      <c r="Z473" t="s">
        <v>2306</v>
      </c>
      <c r="AA473" t="str">
        <v>Kabir Singh</v>
      </c>
      <c r="AB473" t="str">
        <f t="shared" si="71"/>
        <v>Consumer</v>
      </c>
      <c r="AC473" t="str">
        <f t="shared" si="72"/>
        <v>South</v>
      </c>
      <c r="AD473" t="str">
        <f t="shared" si="73"/>
        <v>Telangana</v>
      </c>
      <c r="AE473" t="str">
        <f t="shared" si="74"/>
        <v>Hyderabad</v>
      </c>
      <c r="AF473" t="str">
        <f t="shared" si="75"/>
        <v>Office Supplies</v>
      </c>
      <c r="AG473" t="str">
        <f t="shared" si="76"/>
        <v>Binders</v>
      </c>
      <c r="AH473" t="str">
        <f t="shared" si="77"/>
        <v>Prime Binders 497</v>
      </c>
      <c r="AI473" t="str">
        <f t="shared" si="78"/>
        <v>Standard Class</v>
      </c>
      <c r="AJ473" s="3" t="str">
        <f t="shared" si="79"/>
        <v>Invalid</v>
      </c>
      <c r="AK473" t="str">
        <f t="shared" si="80"/>
        <v>invalid date</v>
      </c>
    </row>
    <row r="474" spans="1:37">
      <c r="A474" t="s">
        <v>2308</v>
      </c>
      <c r="B474" t="s">
        <v>2309</v>
      </c>
      <c r="C474" t="s">
        <v>1504</v>
      </c>
      <c r="D474" t="s">
        <v>2310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2311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  <c r="W474" t="s">
        <v>2308</v>
      </c>
      <c r="X474" t="str">
        <v>02-03-24</v>
      </c>
      <c r="Y474" t="str">
        <v>03-07-24</v>
      </c>
      <c r="Z474" t="s">
        <v>2310</v>
      </c>
      <c r="AA474" t="str">
        <v>Rohan Mehta</v>
      </c>
      <c r="AB474" t="str">
        <f t="shared" si="71"/>
        <v>Corporate</v>
      </c>
      <c r="AC474" t="str">
        <f t="shared" si="72"/>
        <v>East</v>
      </c>
      <c r="AD474" t="str">
        <f t="shared" si="73"/>
        <v>Odisha</v>
      </c>
      <c r="AE474" t="str">
        <f t="shared" si="74"/>
        <v>Bhubaneswar</v>
      </c>
      <c r="AF474" t="str">
        <f t="shared" si="75"/>
        <v>Office Supplies</v>
      </c>
      <c r="AG474" t="str">
        <f t="shared" si="76"/>
        <v>Storage</v>
      </c>
      <c r="AH474" t="str">
        <f t="shared" si="77"/>
        <v>Pro Storage 756</v>
      </c>
      <c r="AI474" t="str">
        <f t="shared" si="78"/>
        <v>Standard Class</v>
      </c>
      <c r="AJ474" s="3" t="str">
        <f t="shared" si="79"/>
        <v>anomaly</v>
      </c>
      <c r="AK474">
        <f t="shared" si="80"/>
        <v>123</v>
      </c>
    </row>
    <row r="475" spans="1:37">
      <c r="A475" t="s">
        <v>2312</v>
      </c>
      <c r="B475" t="s">
        <v>2313</v>
      </c>
      <c r="C475" t="s">
        <v>445</v>
      </c>
      <c r="D475" t="s">
        <v>2314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2315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  <c r="W475" t="s">
        <v>2312</v>
      </c>
      <c r="X475" t="str">
        <v>13-11-24</v>
      </c>
      <c r="Y475" t="str">
        <v>13-11-24</v>
      </c>
      <c r="Z475" t="s">
        <v>2314</v>
      </c>
      <c r="AA475" t="str">
        <v>Priya Menon</v>
      </c>
      <c r="AB475" t="str">
        <f t="shared" si="71"/>
        <v>Consumer</v>
      </c>
      <c r="AC475" t="str">
        <f t="shared" si="72"/>
        <v>West</v>
      </c>
      <c r="AD475" t="str">
        <f t="shared" si="73"/>
        <v>Goa</v>
      </c>
      <c r="AE475" t="str">
        <f t="shared" si="74"/>
        <v>Panaji</v>
      </c>
      <c r="AF475" t="str">
        <f t="shared" si="75"/>
        <v>Technology</v>
      </c>
      <c r="AG475" t="str">
        <f t="shared" si="76"/>
        <v>Copiers</v>
      </c>
      <c r="AH475" t="str">
        <f t="shared" si="77"/>
        <v>Max Copiers 829</v>
      </c>
      <c r="AI475" t="str">
        <f t="shared" si="78"/>
        <v>Standard Class</v>
      </c>
      <c r="AJ475" s="3" t="str">
        <f t="shared" si="79"/>
        <v xml:space="preserve">  </v>
      </c>
      <c r="AK475">
        <f t="shared" si="80"/>
        <v>0</v>
      </c>
    </row>
    <row r="476" spans="1:37">
      <c r="A476" t="s">
        <v>2316</v>
      </c>
      <c r="B476" t="s">
        <v>1218</v>
      </c>
      <c r="C476" t="s">
        <v>2317</v>
      </c>
      <c r="D476" t="s">
        <v>2318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2319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  <c r="W476" t="s">
        <v>2316</v>
      </c>
      <c r="X476" t="str">
        <v>03-06-24</v>
      </c>
      <c r="Y476" t="str">
        <v>10-06-24</v>
      </c>
      <c r="Z476" t="s">
        <v>2318</v>
      </c>
      <c r="AA476" t="str">
        <v>Diya Patel</v>
      </c>
      <c r="AB476" t="str">
        <f t="shared" si="71"/>
        <v>Corporate</v>
      </c>
      <c r="AC476" t="str">
        <f t="shared" si="72"/>
        <v>North</v>
      </c>
      <c r="AD476" t="str">
        <f t="shared" si="73"/>
        <v>Punjab</v>
      </c>
      <c r="AE476" t="str">
        <f t="shared" si="74"/>
        <v>Ludhiana</v>
      </c>
      <c r="AF476" t="str">
        <f t="shared" si="75"/>
        <v>Furniture</v>
      </c>
      <c r="AG476" t="str">
        <f t="shared" si="76"/>
        <v>Furnishings</v>
      </c>
      <c r="AH476" t="str">
        <f t="shared" si="77"/>
        <v>Prime Furnishings 827</v>
      </c>
      <c r="AI476" t="str">
        <f t="shared" si="78"/>
        <v>Standard Class</v>
      </c>
      <c r="AJ476" s="3" t="str">
        <f t="shared" si="79"/>
        <v>anomaly</v>
      </c>
      <c r="AK476">
        <f t="shared" si="80"/>
        <v>7</v>
      </c>
    </row>
    <row r="477" spans="1:37">
      <c r="A477" t="s">
        <v>2320</v>
      </c>
      <c r="B477" t="s">
        <v>2321</v>
      </c>
      <c r="C477" t="s">
        <v>2322</v>
      </c>
      <c r="D477" t="s">
        <v>2323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2324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  <c r="W477" t="s">
        <v>2320</v>
      </c>
      <c r="X477" t="str">
        <v>03-01-25</v>
      </c>
      <c r="Y477" t="str">
        <v>08-03-25</v>
      </c>
      <c r="Z477" t="s">
        <v>2323</v>
      </c>
      <c r="AA477" t="str">
        <v>Vikram Iyer</v>
      </c>
      <c r="AB477" t="str">
        <f t="shared" si="71"/>
        <v>Consumer</v>
      </c>
      <c r="AC477" t="str">
        <f t="shared" si="72"/>
        <v>East</v>
      </c>
      <c r="AD477" t="str">
        <f t="shared" si="73"/>
        <v>West Bengal</v>
      </c>
      <c r="AE477" t="str">
        <f t="shared" si="74"/>
        <v>Kolkata</v>
      </c>
      <c r="AF477" t="str">
        <f t="shared" si="75"/>
        <v>Furniture</v>
      </c>
      <c r="AG477" t="str">
        <f t="shared" si="76"/>
        <v>Chairs</v>
      </c>
      <c r="AH477" t="str">
        <f t="shared" si="77"/>
        <v>Eco Chairs 365</v>
      </c>
      <c r="AI477" t="str">
        <f t="shared" si="78"/>
        <v>Same Day</v>
      </c>
      <c r="AJ477" s="3" t="str">
        <f t="shared" si="79"/>
        <v>anomaly</v>
      </c>
      <c r="AK477">
        <f t="shared" si="80"/>
        <v>64</v>
      </c>
    </row>
    <row r="478" spans="1:37">
      <c r="A478" t="s">
        <v>2325</v>
      </c>
      <c r="B478" t="s">
        <v>2326</v>
      </c>
      <c r="C478" t="s">
        <v>2327</v>
      </c>
      <c r="D478" t="s">
        <v>2328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2329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  <c r="W478" t="s">
        <v>2325</v>
      </c>
      <c r="X478" t="str">
        <v>05-07-24</v>
      </c>
      <c r="Y478" t="str">
        <v>invalid date</v>
      </c>
      <c r="Z478" t="s">
        <v>2328</v>
      </c>
      <c r="AA478" t="str">
        <v>Sneha Kapoor</v>
      </c>
      <c r="AB478" t="str">
        <f t="shared" si="71"/>
        <v>Small Business</v>
      </c>
      <c r="AC478" t="str">
        <f t="shared" si="72"/>
        <v>North</v>
      </c>
      <c r="AD478" t="str">
        <f t="shared" si="73"/>
        <v>Rajasthan</v>
      </c>
      <c r="AE478" t="str">
        <f t="shared" si="74"/>
        <v>Jaipur</v>
      </c>
      <c r="AF478" t="str">
        <f t="shared" si="75"/>
        <v>Office Supplies</v>
      </c>
      <c r="AG478" t="str">
        <f t="shared" si="76"/>
        <v>Storage</v>
      </c>
      <c r="AH478" t="str">
        <f t="shared" si="77"/>
        <v>Classic Storage 545</v>
      </c>
      <c r="AI478" t="str">
        <f t="shared" si="78"/>
        <v>First Class</v>
      </c>
      <c r="AJ478" s="3" t="str">
        <f t="shared" si="79"/>
        <v>Invalid</v>
      </c>
      <c r="AK478" t="str">
        <f t="shared" si="80"/>
        <v>invalid date</v>
      </c>
    </row>
    <row r="479" spans="1:37">
      <c r="A479" t="s">
        <v>2330</v>
      </c>
      <c r="B479" t="s">
        <v>2331</v>
      </c>
      <c r="C479" t="s">
        <v>2332</v>
      </c>
      <c r="D479" t="s">
        <v>2333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2334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  <c r="W479" t="s">
        <v>2330</v>
      </c>
      <c r="X479" t="str">
        <v>invalid date</v>
      </c>
      <c r="Y479" t="str">
        <v>28-08-25</v>
      </c>
      <c r="Z479" t="s">
        <v>2333</v>
      </c>
      <c r="AA479" t="str">
        <v>Vikram Iyer</v>
      </c>
      <c r="AB479" t="str">
        <f t="shared" si="71"/>
        <v>Corporate</v>
      </c>
      <c r="AC479" t="str">
        <f t="shared" si="72"/>
        <v>West</v>
      </c>
      <c r="AD479" t="str">
        <f t="shared" si="73"/>
        <v>Gujarat</v>
      </c>
      <c r="AE479" t="str">
        <f t="shared" si="74"/>
        <v>Ahmedabad</v>
      </c>
      <c r="AF479" t="str">
        <f t="shared" si="75"/>
        <v>Furniture</v>
      </c>
      <c r="AG479" t="str">
        <f t="shared" si="76"/>
        <v>Chairs</v>
      </c>
      <c r="AH479" t="str">
        <f t="shared" si="77"/>
        <v>Pro Chairs 186</v>
      </c>
      <c r="AI479" t="str">
        <f t="shared" si="78"/>
        <v>Standard Class</v>
      </c>
      <c r="AJ479" s="3" t="str">
        <f t="shared" si="79"/>
        <v>Invalid</v>
      </c>
      <c r="AK479" t="str">
        <f t="shared" si="80"/>
        <v>invalid date</v>
      </c>
    </row>
    <row r="480" spans="1:37">
      <c r="A480" t="s">
        <v>2335</v>
      </c>
      <c r="B480" t="s">
        <v>2336</v>
      </c>
      <c r="C480" t="s">
        <v>2337</v>
      </c>
      <c r="D480" t="s">
        <v>2338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2339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  <c r="W480" t="s">
        <v>2335</v>
      </c>
      <c r="X480" t="str">
        <v>06-09-24</v>
      </c>
      <c r="Y480" t="str">
        <v>13-06-24</v>
      </c>
      <c r="Z480" t="s">
        <v>2338</v>
      </c>
      <c r="AA480" t="str">
        <v>Mira Das</v>
      </c>
      <c r="AB480" t="str">
        <f t="shared" si="71"/>
        <v>Home Office</v>
      </c>
      <c r="AC480" s="5" t="s">
        <v>4116</v>
      </c>
      <c r="AD480" t="str">
        <f t="shared" si="73"/>
        <v>Uttar Pradesh</v>
      </c>
      <c r="AE480" t="str">
        <f t="shared" si="74"/>
        <v>Noida</v>
      </c>
      <c r="AF480" t="str">
        <f t="shared" si="75"/>
        <v>Technology</v>
      </c>
      <c r="AG480" t="str">
        <f t="shared" si="76"/>
        <v>Machines</v>
      </c>
      <c r="AH480" t="str">
        <f t="shared" si="77"/>
        <v>Classic Machines 561</v>
      </c>
      <c r="AI480" t="str">
        <f t="shared" si="78"/>
        <v>Same Day</v>
      </c>
      <c r="AJ480" s="3" t="str">
        <f t="shared" si="79"/>
        <v>anomaly</v>
      </c>
      <c r="AK480">
        <f t="shared" si="80"/>
        <v>-85</v>
      </c>
    </row>
    <row r="481" spans="1:37">
      <c r="A481" t="s">
        <v>2340</v>
      </c>
      <c r="B481" t="s">
        <v>2341</v>
      </c>
      <c r="C481" t="s">
        <v>2086</v>
      </c>
      <c r="D481" t="s">
        <v>2342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2343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  <c r="W481" t="s">
        <v>2340</v>
      </c>
      <c r="X481" t="str">
        <v>23-02-24</v>
      </c>
      <c r="Y481" t="str">
        <v>20-02-24</v>
      </c>
      <c r="Z481" t="s">
        <v>2342</v>
      </c>
      <c r="AA481" t="str">
        <v>Arjun Bose</v>
      </c>
      <c r="AB481" t="str">
        <f t="shared" si="71"/>
        <v>Corporate</v>
      </c>
      <c r="AC481" t="str">
        <f t="shared" si="72"/>
        <v>East</v>
      </c>
      <c r="AD481" t="str">
        <f t="shared" si="73"/>
        <v>Odisha</v>
      </c>
      <c r="AE481" t="str">
        <f t="shared" si="74"/>
        <v>Bhubaneswar</v>
      </c>
      <c r="AF481" t="str">
        <f t="shared" si="75"/>
        <v>Furniture</v>
      </c>
      <c r="AG481" t="str">
        <f t="shared" si="76"/>
        <v>Chairs</v>
      </c>
      <c r="AH481" t="str">
        <f t="shared" si="77"/>
        <v>Max Chairs 594</v>
      </c>
      <c r="AI481" t="str">
        <f t="shared" si="78"/>
        <v>Second Class</v>
      </c>
      <c r="AJ481" s="3" t="str">
        <f t="shared" si="79"/>
        <v xml:space="preserve">  </v>
      </c>
      <c r="AK481">
        <f t="shared" si="80"/>
        <v>-3</v>
      </c>
    </row>
    <row r="482" spans="1:37">
      <c r="A482" t="s">
        <v>2344</v>
      </c>
      <c r="B482" t="s">
        <v>385</v>
      </c>
      <c r="C482" t="s">
        <v>2291</v>
      </c>
      <c r="D482" t="s">
        <v>2345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2346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  <c r="W482" t="s">
        <v>2344</v>
      </c>
      <c r="X482" t="str">
        <v>05-01-25</v>
      </c>
      <c r="Y482" t="str">
        <v>09-01-25</v>
      </c>
      <c r="Z482" t="s">
        <v>2345</v>
      </c>
      <c r="AA482" t="str">
        <v>Neha Gupta</v>
      </c>
      <c r="AB482" t="str">
        <f t="shared" si="71"/>
        <v>Small Business</v>
      </c>
      <c r="AC482" t="str">
        <f t="shared" si="72"/>
        <v>South</v>
      </c>
      <c r="AD482" t="str">
        <f t="shared" si="73"/>
        <v>Tamil Nadu</v>
      </c>
      <c r="AE482" t="str">
        <f t="shared" si="74"/>
        <v>Chennai</v>
      </c>
      <c r="AF482" t="str">
        <f t="shared" si="75"/>
        <v>Office Supplies</v>
      </c>
      <c r="AG482" t="str">
        <f t="shared" si="76"/>
        <v>Storage</v>
      </c>
      <c r="AH482" t="str">
        <f t="shared" si="77"/>
        <v>Eco Storage 923</v>
      </c>
      <c r="AI482" s="5" t="s">
        <v>4116</v>
      </c>
      <c r="AJ482" s="3" t="str">
        <f t="shared" si="79"/>
        <v>anomaly</v>
      </c>
      <c r="AK482">
        <f t="shared" si="80"/>
        <v>4</v>
      </c>
    </row>
    <row r="483" spans="1:37">
      <c r="A483" t="s">
        <v>2347</v>
      </c>
      <c r="B483" t="s">
        <v>2348</v>
      </c>
      <c r="C483" t="s">
        <v>2349</v>
      </c>
      <c r="D483" t="s">
        <v>2350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2351</v>
      </c>
      <c r="M483" t="s">
        <v>48</v>
      </c>
      <c r="N483">
        <v>4</v>
      </c>
      <c r="O483">
        <v>2793.88</v>
      </c>
      <c r="P483" s="6" t="s">
        <v>4117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  <c r="W483" t="s">
        <v>2347</v>
      </c>
      <c r="X483" t="str">
        <v>05-06-25</v>
      </c>
      <c r="Y483" t="str">
        <v>invalid date</v>
      </c>
      <c r="Z483" t="s">
        <v>2350</v>
      </c>
      <c r="AA483" t="str">
        <v>Isha Nair</v>
      </c>
      <c r="AB483" t="str">
        <f t="shared" si="71"/>
        <v>Consumer</v>
      </c>
      <c r="AC483" t="str">
        <f t="shared" si="72"/>
        <v>North</v>
      </c>
      <c r="AD483" t="str">
        <f t="shared" si="73"/>
        <v>Uttar Pradesh</v>
      </c>
      <c r="AE483" t="str">
        <f t="shared" si="74"/>
        <v>Noida</v>
      </c>
      <c r="AF483" t="str">
        <f t="shared" si="75"/>
        <v>Technology</v>
      </c>
      <c r="AG483" t="str">
        <f t="shared" si="76"/>
        <v>Machines</v>
      </c>
      <c r="AH483" t="str">
        <f t="shared" si="77"/>
        <v>Classic Machines 287</v>
      </c>
      <c r="AI483" t="str">
        <f t="shared" si="78"/>
        <v>Same Day</v>
      </c>
      <c r="AJ483" s="3" t="str">
        <f t="shared" si="79"/>
        <v>Invalid</v>
      </c>
      <c r="AK483" t="str">
        <f t="shared" si="80"/>
        <v>invalid date</v>
      </c>
    </row>
    <row r="484" spans="1:37">
      <c r="A484" t="s">
        <v>2352</v>
      </c>
      <c r="B484" t="s">
        <v>263</v>
      </c>
      <c r="C484" t="s">
        <v>263</v>
      </c>
      <c r="D484" t="s">
        <v>2353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2354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  <c r="W484" t="s">
        <v>2352</v>
      </c>
      <c r="X484" t="str">
        <v>invalid date</v>
      </c>
      <c r="Y484" t="str">
        <v>invalid date</v>
      </c>
      <c r="Z484" t="s">
        <v>2353</v>
      </c>
      <c r="AA484" t="str">
        <v>Priya Menon</v>
      </c>
      <c r="AB484" t="str">
        <f t="shared" si="71"/>
        <v>Consumer</v>
      </c>
      <c r="AC484" t="str">
        <f t="shared" si="72"/>
        <v>South</v>
      </c>
      <c r="AD484" t="str">
        <f t="shared" si="73"/>
        <v>Karnataka</v>
      </c>
      <c r="AE484" t="str">
        <f t="shared" si="74"/>
        <v>Bengaluru</v>
      </c>
      <c r="AF484" t="str">
        <f t="shared" si="75"/>
        <v>Technology</v>
      </c>
      <c r="AG484" t="str">
        <f t="shared" si="76"/>
        <v>Accessories</v>
      </c>
      <c r="AH484" t="str">
        <f t="shared" si="77"/>
        <v>Basic Accessories 518</v>
      </c>
      <c r="AI484" t="str">
        <f t="shared" si="78"/>
        <v>Second Class</v>
      </c>
      <c r="AJ484" s="3" t="str">
        <f t="shared" si="79"/>
        <v>Invalid</v>
      </c>
      <c r="AK484" t="str">
        <f t="shared" si="80"/>
        <v>invalid date</v>
      </c>
    </row>
    <row r="485" spans="1:37">
      <c r="A485" t="s">
        <v>2355</v>
      </c>
      <c r="B485" t="s">
        <v>1403</v>
      </c>
      <c r="C485" t="s">
        <v>2356</v>
      </c>
      <c r="D485" t="s">
        <v>2357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2358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  <c r="W485" t="s">
        <v>2355</v>
      </c>
      <c r="X485" t="str">
        <v>25-12-24</v>
      </c>
      <c r="Y485" t="str">
        <v>25-12-24</v>
      </c>
      <c r="Z485" t="s">
        <v>2357</v>
      </c>
      <c r="AA485" t="str">
        <v>Mira Das</v>
      </c>
      <c r="AB485" t="str">
        <f t="shared" si="71"/>
        <v>Corporate</v>
      </c>
      <c r="AC485" t="str">
        <f t="shared" si="72"/>
        <v>East</v>
      </c>
      <c r="AD485" t="str">
        <f t="shared" si="73"/>
        <v>Bihar</v>
      </c>
      <c r="AE485" t="str">
        <f t="shared" si="74"/>
        <v>Patna</v>
      </c>
      <c r="AF485" t="str">
        <f t="shared" si="75"/>
        <v>Technology</v>
      </c>
      <c r="AG485" t="str">
        <f t="shared" si="76"/>
        <v>Copiers</v>
      </c>
      <c r="AH485" t="str">
        <f t="shared" si="77"/>
        <v>Pro Copiers 984</v>
      </c>
      <c r="AI485" t="str">
        <f t="shared" si="78"/>
        <v>Standard Class</v>
      </c>
      <c r="AJ485" s="3" t="str">
        <f t="shared" si="79"/>
        <v xml:space="preserve">  </v>
      </c>
      <c r="AK485">
        <f t="shared" si="80"/>
        <v>0</v>
      </c>
    </row>
    <row r="486" spans="1:37">
      <c r="A486" t="s">
        <v>2359</v>
      </c>
      <c r="B486" t="s">
        <v>2360</v>
      </c>
      <c r="C486" t="s">
        <v>2361</v>
      </c>
      <c r="D486" t="s">
        <v>2362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2363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  <c r="W486" t="s">
        <v>2359</v>
      </c>
      <c r="X486" t="str">
        <v>28-12-24</v>
      </c>
      <c r="Y486" t="str">
        <v>invalid date</v>
      </c>
      <c r="Z486" t="s">
        <v>2362</v>
      </c>
      <c r="AA486" t="str">
        <v>Mira Das</v>
      </c>
      <c r="AB486" t="str">
        <f t="shared" si="71"/>
        <v>Small Business</v>
      </c>
      <c r="AC486" t="str">
        <f t="shared" si="72"/>
        <v>South</v>
      </c>
      <c r="AD486" t="str">
        <f t="shared" si="73"/>
        <v>Andhra Pradesh</v>
      </c>
      <c r="AE486" t="str">
        <f t="shared" si="74"/>
        <v>Vijayawada</v>
      </c>
      <c r="AF486" t="str">
        <f t="shared" si="75"/>
        <v>Furniture</v>
      </c>
      <c r="AG486" t="str">
        <f t="shared" si="76"/>
        <v>Furnishings</v>
      </c>
      <c r="AH486" t="str">
        <f t="shared" si="77"/>
        <v>Max Furnishings 297</v>
      </c>
      <c r="AI486" t="str">
        <f t="shared" si="78"/>
        <v>First Class</v>
      </c>
      <c r="AJ486" s="3" t="str">
        <f t="shared" si="79"/>
        <v>Invalid</v>
      </c>
      <c r="AK486" t="str">
        <f t="shared" si="80"/>
        <v>invalid date</v>
      </c>
    </row>
    <row r="487" spans="1:37">
      <c r="A487" t="s">
        <v>2364</v>
      </c>
      <c r="B487" t="s">
        <v>1835</v>
      </c>
      <c r="C487" t="s">
        <v>184</v>
      </c>
      <c r="D487" t="s">
        <v>2365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2366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  <c r="W487" t="s">
        <v>2364</v>
      </c>
      <c r="X487" t="str">
        <v>22-01-25</v>
      </c>
      <c r="Y487" t="str">
        <v>23-01-25</v>
      </c>
      <c r="Z487" t="s">
        <v>2365</v>
      </c>
      <c r="AA487" t="str">
        <v>Rahul Verma</v>
      </c>
      <c r="AB487" t="str">
        <f t="shared" si="71"/>
        <v>Corporate</v>
      </c>
      <c r="AC487" t="str">
        <f t="shared" si="72"/>
        <v>West</v>
      </c>
      <c r="AD487" t="str">
        <f t="shared" si="73"/>
        <v>Goa</v>
      </c>
      <c r="AE487" t="str">
        <f t="shared" si="74"/>
        <v>Panaji</v>
      </c>
      <c r="AF487" t="str">
        <f t="shared" si="75"/>
        <v>Furniture</v>
      </c>
      <c r="AG487" t="str">
        <f t="shared" si="76"/>
        <v>Bookcases</v>
      </c>
      <c r="AH487" t="str">
        <f t="shared" si="77"/>
        <v>Elite Bookcases 802</v>
      </c>
      <c r="AI487" t="str">
        <f t="shared" si="78"/>
        <v>Standard Class</v>
      </c>
      <c r="AJ487" s="3" t="str">
        <f t="shared" si="79"/>
        <v>anomaly</v>
      </c>
      <c r="AK487">
        <f t="shared" si="80"/>
        <v>1</v>
      </c>
    </row>
    <row r="488" spans="1:37">
      <c r="A488" t="s">
        <v>2367</v>
      </c>
      <c r="B488" t="s">
        <v>2368</v>
      </c>
      <c r="C488" t="s">
        <v>2369</v>
      </c>
      <c r="D488" t="s">
        <v>2370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2371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  <c r="W488" t="s">
        <v>2367</v>
      </c>
      <c r="X488" t="str">
        <v>22-06-25</v>
      </c>
      <c r="Y488" t="str">
        <v>invalid date</v>
      </c>
      <c r="Z488" t="s">
        <v>2370</v>
      </c>
      <c r="AA488" t="str">
        <v>Rahul Verma</v>
      </c>
      <c r="AB488" t="str">
        <f t="shared" si="71"/>
        <v>Corporate</v>
      </c>
      <c r="AC488" t="str">
        <f t="shared" si="72"/>
        <v>West</v>
      </c>
      <c r="AD488" t="str">
        <f t="shared" si="73"/>
        <v>Goa</v>
      </c>
      <c r="AE488" t="str">
        <f t="shared" si="74"/>
        <v>Panaji</v>
      </c>
      <c r="AF488" t="str">
        <f t="shared" si="75"/>
        <v>Furniture</v>
      </c>
      <c r="AG488" t="str">
        <f t="shared" si="76"/>
        <v>Tables</v>
      </c>
      <c r="AH488" t="str">
        <f t="shared" si="77"/>
        <v>Pro Tables 257</v>
      </c>
      <c r="AI488" t="str">
        <f t="shared" si="78"/>
        <v>Standard Class</v>
      </c>
      <c r="AJ488" s="3" t="str">
        <f t="shared" si="79"/>
        <v>Invalid</v>
      </c>
      <c r="AK488" t="str">
        <f t="shared" si="80"/>
        <v>invalid date</v>
      </c>
    </row>
    <row r="489" spans="1:37">
      <c r="A489" t="s">
        <v>2372</v>
      </c>
      <c r="B489" t="s">
        <v>1966</v>
      </c>
      <c r="C489" t="s">
        <v>2373</v>
      </c>
      <c r="D489" t="s">
        <v>2374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2375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  <c r="W489" t="s">
        <v>2372</v>
      </c>
      <c r="X489" t="str">
        <v>10-06-25</v>
      </c>
      <c r="Y489" t="str">
        <v>invalid date</v>
      </c>
      <c r="Z489" t="s">
        <v>2374</v>
      </c>
      <c r="AA489" t="str">
        <v>Rahul Verma</v>
      </c>
      <c r="AB489" t="str">
        <f t="shared" si="71"/>
        <v>Corporate</v>
      </c>
      <c r="AC489" t="str">
        <f t="shared" si="72"/>
        <v>South</v>
      </c>
      <c r="AD489" t="str">
        <f t="shared" si="73"/>
        <v>Telangana</v>
      </c>
      <c r="AE489" t="str">
        <f t="shared" si="74"/>
        <v>Hyderabad</v>
      </c>
      <c r="AF489" t="str">
        <f t="shared" si="75"/>
        <v>Furniture</v>
      </c>
      <c r="AG489" t="str">
        <f t="shared" si="76"/>
        <v>Furnishings</v>
      </c>
      <c r="AH489" t="str">
        <f t="shared" si="77"/>
        <v>Prime Furnishings 299</v>
      </c>
      <c r="AI489" t="str">
        <f t="shared" si="78"/>
        <v>Standard Class</v>
      </c>
      <c r="AJ489" s="3" t="str">
        <f t="shared" si="79"/>
        <v>Invalid</v>
      </c>
      <c r="AK489" t="str">
        <f t="shared" si="80"/>
        <v>invalid date</v>
      </c>
    </row>
    <row r="490" spans="1:37">
      <c r="A490" t="s">
        <v>2376</v>
      </c>
      <c r="B490" t="s">
        <v>2377</v>
      </c>
      <c r="C490" t="s">
        <v>2378</v>
      </c>
      <c r="D490" t="s">
        <v>2379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2380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  <c r="W490" t="s">
        <v>2376</v>
      </c>
      <c r="X490" t="str">
        <v>14-10-24</v>
      </c>
      <c r="Y490" t="str">
        <v>20-10-24</v>
      </c>
      <c r="Z490" t="s">
        <v>2379</v>
      </c>
      <c r="AA490" t="str">
        <v>Aditi Sen</v>
      </c>
      <c r="AB490" t="str">
        <f t="shared" si="71"/>
        <v>Small Business</v>
      </c>
      <c r="AC490" t="str">
        <f t="shared" si="72"/>
        <v>North</v>
      </c>
      <c r="AD490" t="str">
        <f t="shared" si="73"/>
        <v>Rajasthan</v>
      </c>
      <c r="AE490" t="str">
        <f t="shared" si="74"/>
        <v>Jaipur</v>
      </c>
      <c r="AF490" t="str">
        <f t="shared" si="75"/>
        <v>Furniture</v>
      </c>
      <c r="AG490" t="str">
        <f t="shared" si="76"/>
        <v>Tables</v>
      </c>
      <c r="AH490" t="str">
        <f t="shared" si="77"/>
        <v>Eco Tables 487</v>
      </c>
      <c r="AI490" t="str">
        <f t="shared" si="78"/>
        <v>Same Day</v>
      </c>
      <c r="AJ490" s="3" t="str">
        <f t="shared" si="79"/>
        <v>anomaly</v>
      </c>
      <c r="AK490">
        <f t="shared" si="80"/>
        <v>6</v>
      </c>
    </row>
    <row r="491" spans="1:37">
      <c r="A491" t="s">
        <v>2381</v>
      </c>
      <c r="B491" t="s">
        <v>390</v>
      </c>
      <c r="C491" t="s">
        <v>2382</v>
      </c>
      <c r="D491" t="s">
        <v>2383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2384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  <c r="W491" t="s">
        <v>2381</v>
      </c>
      <c r="X491" t="str">
        <v>07-02-24</v>
      </c>
      <c r="Y491" t="str">
        <v>12-02-24</v>
      </c>
      <c r="Z491" t="s">
        <v>2383</v>
      </c>
      <c r="AA491" t="str">
        <v>Arjun Bose</v>
      </c>
      <c r="AB491" t="str">
        <f t="shared" si="71"/>
        <v>Home Office</v>
      </c>
      <c r="AC491" t="str">
        <f t="shared" si="72"/>
        <v>East</v>
      </c>
      <c r="AD491" t="str">
        <f t="shared" si="73"/>
        <v>West Bengal</v>
      </c>
      <c r="AE491" t="str">
        <f t="shared" si="74"/>
        <v>Kolkata</v>
      </c>
      <c r="AF491" t="str">
        <f t="shared" si="75"/>
        <v>Technology</v>
      </c>
      <c r="AG491" t="str">
        <f t="shared" si="76"/>
        <v>Accessories</v>
      </c>
      <c r="AH491" t="str">
        <f t="shared" si="77"/>
        <v>Prime Accessories 960</v>
      </c>
      <c r="AI491" t="str">
        <f t="shared" si="78"/>
        <v>Second Class</v>
      </c>
      <c r="AJ491" s="3" t="str">
        <f t="shared" si="79"/>
        <v>anomaly</v>
      </c>
      <c r="AK491">
        <f t="shared" si="80"/>
        <v>5</v>
      </c>
    </row>
    <row r="492" spans="1:37">
      <c r="A492" t="s">
        <v>2385</v>
      </c>
      <c r="B492" t="s">
        <v>2386</v>
      </c>
      <c r="C492" t="s">
        <v>1887</v>
      </c>
      <c r="D492" t="s">
        <v>2387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2388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  <c r="W492" t="s">
        <v>2385</v>
      </c>
      <c r="X492" t="str">
        <v>16-09-24</v>
      </c>
      <c r="Y492" t="str">
        <v>invalid date</v>
      </c>
      <c r="Z492" t="s">
        <v>2387</v>
      </c>
      <c r="AA492" t="str">
        <v>Aditi Sen</v>
      </c>
      <c r="AB492" t="str">
        <f t="shared" si="71"/>
        <v>Consumer</v>
      </c>
      <c r="AC492" t="str">
        <f t="shared" si="72"/>
        <v>West</v>
      </c>
      <c r="AD492" t="str">
        <f t="shared" si="73"/>
        <v>Rajasthan</v>
      </c>
      <c r="AE492" t="str">
        <f t="shared" si="74"/>
        <v>Udaipur</v>
      </c>
      <c r="AF492" t="str">
        <f t="shared" si="75"/>
        <v>Office Supplies</v>
      </c>
      <c r="AG492" t="str">
        <f t="shared" si="76"/>
        <v>Binders</v>
      </c>
      <c r="AH492" t="str">
        <f t="shared" si="77"/>
        <v>Smart Binders 191</v>
      </c>
      <c r="AI492" t="str">
        <f t="shared" si="78"/>
        <v>First Class</v>
      </c>
      <c r="AJ492" s="3" t="str">
        <f t="shared" si="79"/>
        <v>Invalid</v>
      </c>
      <c r="AK492" t="str">
        <f t="shared" si="80"/>
        <v>invalid date</v>
      </c>
    </row>
    <row r="493" spans="1:37">
      <c r="A493" t="s">
        <v>2389</v>
      </c>
      <c r="B493" t="s">
        <v>1976</v>
      </c>
      <c r="C493" t="s">
        <v>2390</v>
      </c>
      <c r="D493" t="s">
        <v>2391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2392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  <c r="W493" t="s">
        <v>2389</v>
      </c>
      <c r="X493" t="str">
        <v>29-04-25</v>
      </c>
      <c r="Y493" t="str">
        <v>30-04-25</v>
      </c>
      <c r="Z493" t="s">
        <v>2391</v>
      </c>
      <c r="AA493" t="str">
        <v>Mira Das</v>
      </c>
      <c r="AB493" t="str">
        <f t="shared" si="71"/>
        <v>Corporate</v>
      </c>
      <c r="AC493" t="str">
        <f t="shared" si="72"/>
        <v>South</v>
      </c>
      <c r="AD493" t="str">
        <f t="shared" si="73"/>
        <v>Kerala</v>
      </c>
      <c r="AE493" t="str">
        <f t="shared" si="74"/>
        <v>Kochi</v>
      </c>
      <c r="AF493" t="str">
        <f t="shared" si="75"/>
        <v>Technology</v>
      </c>
      <c r="AG493" t="str">
        <f t="shared" si="76"/>
        <v>Accessories</v>
      </c>
      <c r="AH493" t="str">
        <f t="shared" si="77"/>
        <v>Prime Accessories 118</v>
      </c>
      <c r="AI493" t="str">
        <f t="shared" si="78"/>
        <v>Standard Class</v>
      </c>
      <c r="AJ493" s="3" t="str">
        <f t="shared" si="79"/>
        <v>anomaly</v>
      </c>
      <c r="AK493">
        <f t="shared" si="80"/>
        <v>1</v>
      </c>
    </row>
    <row r="494" spans="1:37">
      <c r="A494" t="s">
        <v>2393</v>
      </c>
      <c r="B494" t="s">
        <v>2394</v>
      </c>
      <c r="C494" t="s">
        <v>2395</v>
      </c>
      <c r="D494" t="s">
        <v>2396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2397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  <c r="W494" t="s">
        <v>2393</v>
      </c>
      <c r="X494" t="str">
        <v>28-06-25</v>
      </c>
      <c r="Y494" t="str">
        <v>07-02-25</v>
      </c>
      <c r="Z494" t="s">
        <v>2396</v>
      </c>
      <c r="AA494" t="str">
        <v>Ananya Rao</v>
      </c>
      <c r="AB494" t="str">
        <f t="shared" si="71"/>
        <v>Corporate</v>
      </c>
      <c r="AC494" t="str">
        <f t="shared" si="72"/>
        <v>South</v>
      </c>
      <c r="AD494" t="str">
        <f t="shared" si="73"/>
        <v>Andhra Pradesh</v>
      </c>
      <c r="AE494" t="str">
        <f t="shared" si="74"/>
        <v>Vijayawada</v>
      </c>
      <c r="AF494" t="str">
        <f t="shared" si="75"/>
        <v>Office Supplies</v>
      </c>
      <c r="AG494" t="str">
        <f t="shared" si="76"/>
        <v>Storage</v>
      </c>
      <c r="AH494" t="str">
        <f t="shared" si="77"/>
        <v>Elite Storage 331</v>
      </c>
      <c r="AI494" t="str">
        <f t="shared" si="78"/>
        <v>Second Class</v>
      </c>
      <c r="AJ494" s="3" t="str">
        <f t="shared" si="79"/>
        <v xml:space="preserve">  </v>
      </c>
      <c r="AK494">
        <f t="shared" si="80"/>
        <v>-141</v>
      </c>
    </row>
    <row r="495" spans="1:37">
      <c r="A495" t="s">
        <v>2398</v>
      </c>
      <c r="B495" t="s">
        <v>1413</v>
      </c>
      <c r="C495" t="s">
        <v>2399</v>
      </c>
      <c r="D495" t="s">
        <v>2400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2401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2402</v>
      </c>
      <c r="W495" t="s">
        <v>2398</v>
      </c>
      <c r="X495" t="str">
        <v>13-02-25</v>
      </c>
      <c r="Y495" t="str">
        <v>13-02-25</v>
      </c>
      <c r="Z495" t="s">
        <v>2400</v>
      </c>
      <c r="AA495" t="str">
        <v>Kabir Singh</v>
      </c>
      <c r="AB495" t="str">
        <f t="shared" si="71"/>
        <v>Corporate</v>
      </c>
      <c r="AC495" t="str">
        <f t="shared" si="72"/>
        <v>East</v>
      </c>
      <c r="AD495" t="str">
        <f t="shared" si="73"/>
        <v>Odisha</v>
      </c>
      <c r="AE495" t="str">
        <f t="shared" si="74"/>
        <v>Bhubaneswar</v>
      </c>
      <c r="AF495" t="str">
        <f t="shared" si="75"/>
        <v>Office Supplies</v>
      </c>
      <c r="AG495" t="str">
        <f t="shared" si="76"/>
        <v>Paper</v>
      </c>
      <c r="AH495" t="str">
        <f t="shared" si="77"/>
        <v>Prime Paper 996</v>
      </c>
      <c r="AI495" t="str">
        <f t="shared" si="78"/>
        <v>Second Class</v>
      </c>
      <c r="AJ495" s="3" t="str">
        <f t="shared" si="79"/>
        <v xml:space="preserve">  </v>
      </c>
      <c r="AK495">
        <f t="shared" si="80"/>
        <v>0</v>
      </c>
    </row>
    <row r="496" spans="1:37">
      <c r="A496" t="s">
        <v>2403</v>
      </c>
      <c r="B496" t="s">
        <v>2404</v>
      </c>
      <c r="C496" t="s">
        <v>2405</v>
      </c>
      <c r="D496" t="s">
        <v>2406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2407</v>
      </c>
      <c r="M496" t="s">
        <v>67</v>
      </c>
      <c r="N496">
        <v>3</v>
      </c>
      <c r="O496">
        <v>671.68</v>
      </c>
      <c r="P496" s="5" t="s">
        <v>4117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  <c r="W496" t="s">
        <v>2403</v>
      </c>
      <c r="X496" t="str">
        <v>14-11-24</v>
      </c>
      <c r="Y496" t="str">
        <v>22-11-24</v>
      </c>
      <c r="Z496" t="s">
        <v>2406</v>
      </c>
      <c r="AA496" t="str">
        <v>Isha Nair</v>
      </c>
      <c r="AB496" t="str">
        <f t="shared" si="71"/>
        <v>Consumer</v>
      </c>
      <c r="AC496" t="str">
        <f t="shared" si="72"/>
        <v>West</v>
      </c>
      <c r="AD496" t="str">
        <f t="shared" si="73"/>
        <v>Madhya Pradesh</v>
      </c>
      <c r="AE496" t="str">
        <f t="shared" si="74"/>
        <v>Indore</v>
      </c>
      <c r="AF496" t="str">
        <f t="shared" si="75"/>
        <v>Technology</v>
      </c>
      <c r="AG496" t="str">
        <f t="shared" si="76"/>
        <v>Phones</v>
      </c>
      <c r="AH496" t="str">
        <f t="shared" si="77"/>
        <v>Smart Phones 125</v>
      </c>
      <c r="AI496" t="str">
        <f t="shared" si="78"/>
        <v>Standard Class</v>
      </c>
      <c r="AJ496" s="3" t="str">
        <f t="shared" si="79"/>
        <v>anomaly</v>
      </c>
      <c r="AK496">
        <f t="shared" si="80"/>
        <v>8</v>
      </c>
    </row>
    <row r="497" spans="1:37">
      <c r="A497" t="s">
        <v>2408</v>
      </c>
      <c r="B497" t="s">
        <v>2189</v>
      </c>
      <c r="C497" t="s">
        <v>2409</v>
      </c>
      <c r="D497" t="s">
        <v>2410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2411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  <c r="W497" t="s">
        <v>2408</v>
      </c>
      <c r="X497" t="str">
        <v>05-09-24</v>
      </c>
      <c r="Y497" t="str">
        <v>invalid date</v>
      </c>
      <c r="Z497" t="s">
        <v>2410</v>
      </c>
      <c r="AA497" t="str">
        <v>Mira Das</v>
      </c>
      <c r="AB497" t="str">
        <f t="shared" si="71"/>
        <v>Small Business</v>
      </c>
      <c r="AC497" t="str">
        <f t="shared" si="72"/>
        <v>East</v>
      </c>
      <c r="AD497" t="str">
        <f t="shared" si="73"/>
        <v>Assam</v>
      </c>
      <c r="AE497" t="str">
        <f t="shared" si="74"/>
        <v>Guwahati</v>
      </c>
      <c r="AF497" t="str">
        <f t="shared" si="75"/>
        <v>Technology</v>
      </c>
      <c r="AG497" t="str">
        <f t="shared" si="76"/>
        <v>Phones</v>
      </c>
      <c r="AH497" t="str">
        <f t="shared" si="77"/>
        <v>Eco Phones 220</v>
      </c>
      <c r="AI497" t="str">
        <f t="shared" si="78"/>
        <v>Second Class</v>
      </c>
      <c r="AJ497" s="3" t="str">
        <f t="shared" si="79"/>
        <v>Invalid</v>
      </c>
      <c r="AK497" t="str">
        <f t="shared" si="80"/>
        <v>invalid date</v>
      </c>
    </row>
    <row r="498" spans="1:37">
      <c r="A498" t="s">
        <v>2412</v>
      </c>
      <c r="B498" t="s">
        <v>2413</v>
      </c>
      <c r="C498" t="s">
        <v>2414</v>
      </c>
      <c r="D498" t="s">
        <v>2415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2416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  <c r="W498" t="s">
        <v>2412</v>
      </c>
      <c r="X498" t="str">
        <v>04-07-25</v>
      </c>
      <c r="Y498" t="str">
        <v>06-07-25</v>
      </c>
      <c r="Z498" t="s">
        <v>2415</v>
      </c>
      <c r="AA498" t="str">
        <v>Kabir Singh</v>
      </c>
      <c r="AB498" t="str">
        <f t="shared" si="71"/>
        <v>Small Business</v>
      </c>
      <c r="AC498" t="str">
        <f t="shared" si="72"/>
        <v>East</v>
      </c>
      <c r="AD498" t="str">
        <f t="shared" si="73"/>
        <v>Jharkhand</v>
      </c>
      <c r="AE498" t="str">
        <f t="shared" si="74"/>
        <v>Ranchi</v>
      </c>
      <c r="AF498" t="str">
        <f t="shared" si="75"/>
        <v>Furniture</v>
      </c>
      <c r="AG498" t="str">
        <f t="shared" si="76"/>
        <v>Chairs</v>
      </c>
      <c r="AH498" t="str">
        <f t="shared" si="77"/>
        <v>Eco Chairs 795</v>
      </c>
      <c r="AI498" t="str">
        <f t="shared" si="78"/>
        <v>Second Class</v>
      </c>
      <c r="AJ498" s="3" t="str">
        <f t="shared" si="79"/>
        <v>anomaly</v>
      </c>
      <c r="AK498">
        <f t="shared" si="80"/>
        <v>2</v>
      </c>
    </row>
    <row r="499" spans="1:37">
      <c r="A499" t="s">
        <v>2417</v>
      </c>
      <c r="B499" t="s">
        <v>2418</v>
      </c>
      <c r="C499" t="s">
        <v>2418</v>
      </c>
      <c r="D499" t="s">
        <v>2419</v>
      </c>
      <c r="E499" t="s">
        <v>168</v>
      </c>
      <c r="F499" t="s">
        <v>41</v>
      </c>
      <c r="G499" t="s">
        <v>711</v>
      </c>
      <c r="H499" t="s">
        <v>174</v>
      </c>
      <c r="I499" t="s">
        <v>175</v>
      </c>
      <c r="J499" t="s">
        <v>86</v>
      </c>
      <c r="K499" t="s">
        <v>87</v>
      </c>
      <c r="L499" t="s">
        <v>2420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  <c r="W499" t="s">
        <v>2417</v>
      </c>
      <c r="X499" t="str">
        <v>29-08-24</v>
      </c>
      <c r="Y499" t="str">
        <v>29-08-24</v>
      </c>
      <c r="Z499" t="s">
        <v>2419</v>
      </c>
      <c r="AA499" t="str">
        <v>Sneha Kapoor</v>
      </c>
      <c r="AB499" t="str">
        <f t="shared" si="71"/>
        <v>Small Business</v>
      </c>
      <c r="AC499" t="str">
        <f t="shared" si="72"/>
        <v>North</v>
      </c>
      <c r="AD499" t="str">
        <f t="shared" si="73"/>
        <v>Uttar Pradesh</v>
      </c>
      <c r="AE499" t="str">
        <f t="shared" si="74"/>
        <v>Noida</v>
      </c>
      <c r="AF499" t="str">
        <f t="shared" si="75"/>
        <v>Technology</v>
      </c>
      <c r="AG499" t="str">
        <f t="shared" si="76"/>
        <v>Accessories</v>
      </c>
      <c r="AH499" t="str">
        <f t="shared" si="77"/>
        <v>Smart Accessories 896</v>
      </c>
      <c r="AI499" t="str">
        <f t="shared" si="78"/>
        <v>Second Class</v>
      </c>
      <c r="AJ499" s="3" t="str">
        <f t="shared" si="79"/>
        <v xml:space="preserve">  </v>
      </c>
      <c r="AK499">
        <f t="shared" si="80"/>
        <v>0</v>
      </c>
    </row>
    <row r="500" spans="1:37">
      <c r="A500" t="s">
        <v>2421</v>
      </c>
      <c r="B500" t="s">
        <v>2422</v>
      </c>
      <c r="C500" t="s">
        <v>2423</v>
      </c>
      <c r="D500" t="s">
        <v>2424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2425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2426</v>
      </c>
      <c r="W500" t="s">
        <v>2421</v>
      </c>
      <c r="X500" t="str">
        <v>07-09-25</v>
      </c>
      <c r="Y500" t="str">
        <v>10-09-25</v>
      </c>
      <c r="Z500" t="s">
        <v>2424</v>
      </c>
      <c r="AA500" t="str">
        <v>Karan Malhotra</v>
      </c>
      <c r="AB500" t="str">
        <f t="shared" si="71"/>
        <v>Consumer</v>
      </c>
      <c r="AC500" t="str">
        <f t="shared" si="72"/>
        <v>North</v>
      </c>
      <c r="AD500" t="str">
        <f t="shared" si="73"/>
        <v>Punjab</v>
      </c>
      <c r="AE500" t="str">
        <f t="shared" si="74"/>
        <v>Ludhiana</v>
      </c>
      <c r="AF500" t="str">
        <f t="shared" si="75"/>
        <v>Furniture</v>
      </c>
      <c r="AG500" t="str">
        <f t="shared" si="76"/>
        <v>Chairs</v>
      </c>
      <c r="AH500" t="str">
        <f t="shared" si="77"/>
        <v>Basic Chairs 255</v>
      </c>
      <c r="AI500" t="str">
        <f t="shared" si="78"/>
        <v>Same Day</v>
      </c>
      <c r="AJ500" s="3" t="str">
        <f t="shared" si="79"/>
        <v>anomaly</v>
      </c>
      <c r="AK500">
        <f t="shared" si="80"/>
        <v>3</v>
      </c>
    </row>
    <row r="501" spans="1:37">
      <c r="A501" t="s">
        <v>2427</v>
      </c>
      <c r="B501" t="s">
        <v>2428</v>
      </c>
      <c r="C501" t="s">
        <v>1443</v>
      </c>
      <c r="D501" t="s">
        <v>2429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2430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  <c r="W501" t="s">
        <v>2427</v>
      </c>
      <c r="X501" t="str">
        <v>22-12-24</v>
      </c>
      <c r="Y501" t="str">
        <v>26-12-24</v>
      </c>
      <c r="Z501" t="s">
        <v>2429</v>
      </c>
      <c r="AA501" t="str">
        <v>Rahul Verma</v>
      </c>
      <c r="AB501" t="str">
        <f t="shared" si="71"/>
        <v>Home Office</v>
      </c>
      <c r="AC501" t="str">
        <f t="shared" si="72"/>
        <v>North</v>
      </c>
      <c r="AD501" t="str">
        <f t="shared" si="73"/>
        <v>Uttar Pradesh</v>
      </c>
      <c r="AE501" t="str">
        <f t="shared" si="74"/>
        <v>Noida</v>
      </c>
      <c r="AF501" t="str">
        <f t="shared" si="75"/>
        <v>Furniture</v>
      </c>
      <c r="AG501" t="str">
        <f t="shared" si="76"/>
        <v>Chairs</v>
      </c>
      <c r="AH501" t="str">
        <f t="shared" si="77"/>
        <v>Eco Chairs 210</v>
      </c>
      <c r="AI501" t="str">
        <f t="shared" si="78"/>
        <v>Standard Class</v>
      </c>
      <c r="AJ501" s="3" t="str">
        <f t="shared" si="79"/>
        <v>anomaly</v>
      </c>
      <c r="AK501">
        <f t="shared" si="80"/>
        <v>4</v>
      </c>
    </row>
    <row r="502" spans="1:37">
      <c r="A502" t="s">
        <v>2431</v>
      </c>
      <c r="B502" t="s">
        <v>1128</v>
      </c>
      <c r="C502" t="s">
        <v>2432</v>
      </c>
      <c r="D502" t="s">
        <v>2433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2434</v>
      </c>
      <c r="M502" t="s">
        <v>48</v>
      </c>
      <c r="N502">
        <v>9</v>
      </c>
      <c r="O502">
        <v>3795.99</v>
      </c>
      <c r="P502" s="6" t="s">
        <v>4117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  <c r="W502" t="s">
        <v>2431</v>
      </c>
      <c r="X502" t="str">
        <v>invalid date</v>
      </c>
      <c r="Y502" t="str">
        <v>invalid date</v>
      </c>
      <c r="Z502" t="s">
        <v>2433</v>
      </c>
      <c r="AA502" t="str">
        <v>Sneha Kapoor</v>
      </c>
      <c r="AB502" t="str">
        <f t="shared" si="71"/>
        <v>Consumer</v>
      </c>
      <c r="AC502" t="str">
        <f t="shared" si="72"/>
        <v>South</v>
      </c>
      <c r="AD502" t="str">
        <f t="shared" si="73"/>
        <v>Kerala</v>
      </c>
      <c r="AE502" t="str">
        <f t="shared" si="74"/>
        <v>Kochi</v>
      </c>
      <c r="AF502" t="str">
        <f t="shared" si="75"/>
        <v>Technology</v>
      </c>
      <c r="AG502" t="str">
        <f t="shared" si="76"/>
        <v>Phones</v>
      </c>
      <c r="AH502" t="str">
        <f t="shared" si="77"/>
        <v>Prime Phones 533</v>
      </c>
      <c r="AI502" t="str">
        <f t="shared" si="78"/>
        <v>Same Day</v>
      </c>
      <c r="AJ502" s="3" t="str">
        <f t="shared" si="79"/>
        <v>Invalid</v>
      </c>
      <c r="AK502" t="str">
        <f t="shared" si="80"/>
        <v>invalid date</v>
      </c>
    </row>
    <row r="503" spans="1:37">
      <c r="A503" t="s">
        <v>2435</v>
      </c>
      <c r="B503" t="s">
        <v>2436</v>
      </c>
      <c r="C503" t="s">
        <v>2437</v>
      </c>
      <c r="D503" t="s">
        <v>1235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2438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  <c r="W503" t="s">
        <v>2435</v>
      </c>
      <c r="X503" t="str">
        <v>11-08-24</v>
      </c>
      <c r="Y503" t="str">
        <v>invalid date</v>
      </c>
      <c r="Z503" t="s">
        <v>1235</v>
      </c>
      <c r="AA503" t="str">
        <v>Neha Gupta</v>
      </c>
      <c r="AB503" t="str">
        <f t="shared" si="71"/>
        <v>Consumer</v>
      </c>
      <c r="AC503" t="str">
        <f t="shared" si="72"/>
        <v>East</v>
      </c>
      <c r="AD503" t="str">
        <f t="shared" si="73"/>
        <v>Jharkhand</v>
      </c>
      <c r="AE503" t="str">
        <f t="shared" si="74"/>
        <v>Ranchi</v>
      </c>
      <c r="AF503" t="str">
        <f t="shared" si="75"/>
        <v>Office Supplies</v>
      </c>
      <c r="AG503" t="str">
        <f t="shared" si="76"/>
        <v>Art</v>
      </c>
      <c r="AH503" t="str">
        <f t="shared" si="77"/>
        <v>Elite Art 325</v>
      </c>
      <c r="AI503" t="str">
        <f t="shared" si="78"/>
        <v>Second Class</v>
      </c>
      <c r="AJ503" s="3" t="str">
        <f t="shared" si="79"/>
        <v>Invalid</v>
      </c>
      <c r="AK503" t="str">
        <f t="shared" si="80"/>
        <v>invalid date</v>
      </c>
    </row>
    <row r="504" spans="1:37">
      <c r="A504" t="s">
        <v>2439</v>
      </c>
      <c r="B504" t="s">
        <v>2440</v>
      </c>
      <c r="C504" t="s">
        <v>2441</v>
      </c>
      <c r="D504" t="s">
        <v>2442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2443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  <c r="W504" t="s">
        <v>2439</v>
      </c>
      <c r="X504" t="str">
        <v>04-01-24</v>
      </c>
      <c r="Y504" t="str">
        <v>09-04-24</v>
      </c>
      <c r="Z504" t="s">
        <v>2442</v>
      </c>
      <c r="AA504" t="str">
        <v>Priya Menon</v>
      </c>
      <c r="AB504" t="str">
        <f t="shared" si="71"/>
        <v>Small Business</v>
      </c>
      <c r="AC504" t="str">
        <f t="shared" si="72"/>
        <v>East</v>
      </c>
      <c r="AD504" t="str">
        <f t="shared" si="73"/>
        <v>Odisha</v>
      </c>
      <c r="AE504" t="str">
        <f t="shared" si="74"/>
        <v>Bhubaneswar</v>
      </c>
      <c r="AF504" t="str">
        <f t="shared" si="75"/>
        <v>Technology</v>
      </c>
      <c r="AG504" t="str">
        <f t="shared" si="76"/>
        <v>Copiers</v>
      </c>
      <c r="AH504" t="str">
        <f t="shared" si="77"/>
        <v>Prime Copiers 557</v>
      </c>
      <c r="AI504" t="str">
        <f t="shared" si="78"/>
        <v>Second Class</v>
      </c>
      <c r="AJ504" s="3" t="str">
        <f t="shared" si="79"/>
        <v>anomaly</v>
      </c>
      <c r="AK504">
        <f t="shared" si="80"/>
        <v>96</v>
      </c>
    </row>
    <row r="505" spans="1:37">
      <c r="A505" t="s">
        <v>2444</v>
      </c>
      <c r="B505" t="s">
        <v>2445</v>
      </c>
      <c r="C505" t="s">
        <v>2446</v>
      </c>
      <c r="D505" t="s">
        <v>2447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2448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  <c r="W505" t="s">
        <v>2444</v>
      </c>
      <c r="X505" t="str">
        <v>28-09-24</v>
      </c>
      <c r="Y505" t="str">
        <v>05-10-24</v>
      </c>
      <c r="Z505" t="s">
        <v>2447</v>
      </c>
      <c r="AA505" t="str">
        <v>Aarav Sharma</v>
      </c>
      <c r="AB505" t="str">
        <f t="shared" si="71"/>
        <v>Consumer</v>
      </c>
      <c r="AC505" t="str">
        <f t="shared" si="72"/>
        <v>South</v>
      </c>
      <c r="AD505" t="str">
        <f t="shared" si="73"/>
        <v>Tamil Nadu</v>
      </c>
      <c r="AE505" t="str">
        <f t="shared" si="74"/>
        <v>Chennai</v>
      </c>
      <c r="AF505" t="str">
        <f t="shared" si="75"/>
        <v>Technology</v>
      </c>
      <c r="AG505" t="str">
        <f t="shared" si="76"/>
        <v>Phones</v>
      </c>
      <c r="AH505" t="str">
        <f t="shared" si="77"/>
        <v>Smart Phones 674</v>
      </c>
      <c r="AI505" t="str">
        <f t="shared" si="78"/>
        <v>Standard Class</v>
      </c>
      <c r="AJ505" s="3" t="str">
        <f t="shared" si="79"/>
        <v xml:space="preserve">  </v>
      </c>
      <c r="AK505">
        <f t="shared" si="80"/>
        <v>7</v>
      </c>
    </row>
    <row r="506" spans="1:37">
      <c r="A506" t="s">
        <v>2449</v>
      </c>
      <c r="B506" t="s">
        <v>2450</v>
      </c>
      <c r="C506" t="s">
        <v>2451</v>
      </c>
      <c r="D506" t="s">
        <v>2452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2453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  <c r="W506" t="s">
        <v>2449</v>
      </c>
      <c r="X506" t="str">
        <v>12-02-25</v>
      </c>
      <c r="Y506" t="str">
        <v>17-02-25</v>
      </c>
      <c r="Z506" t="s">
        <v>2452</v>
      </c>
      <c r="AA506" t="str">
        <v>Arjun Bose</v>
      </c>
      <c r="AB506" t="str">
        <f t="shared" si="71"/>
        <v>Corporate</v>
      </c>
      <c r="AC506" t="str">
        <f t="shared" si="72"/>
        <v>West</v>
      </c>
      <c r="AD506" t="str">
        <f t="shared" si="73"/>
        <v>Gujarat</v>
      </c>
      <c r="AE506" t="str">
        <f t="shared" si="74"/>
        <v>Ahmedabad</v>
      </c>
      <c r="AF506" t="str">
        <f t="shared" si="75"/>
        <v>Office Supplies</v>
      </c>
      <c r="AG506" t="str">
        <f t="shared" si="76"/>
        <v>Art</v>
      </c>
      <c r="AH506" t="str">
        <f t="shared" si="77"/>
        <v>Elite Art 553</v>
      </c>
      <c r="AI506" t="str">
        <f t="shared" si="78"/>
        <v>Standard Class</v>
      </c>
      <c r="AJ506" s="3" t="str">
        <f t="shared" si="79"/>
        <v>anomaly</v>
      </c>
      <c r="AK506">
        <f t="shared" si="80"/>
        <v>5</v>
      </c>
    </row>
    <row r="507" spans="1:37">
      <c r="A507" t="s">
        <v>2454</v>
      </c>
      <c r="B507" t="s">
        <v>2455</v>
      </c>
      <c r="C507" t="s">
        <v>1378</v>
      </c>
      <c r="D507" t="s">
        <v>2456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2457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  <c r="W507" t="s">
        <v>2454</v>
      </c>
      <c r="X507" t="str">
        <v>09-11-24</v>
      </c>
      <c r="Y507" t="str">
        <v>14-11-24</v>
      </c>
      <c r="Z507" t="s">
        <v>2456</v>
      </c>
      <c r="AA507" t="str">
        <v>Neha Gupta</v>
      </c>
      <c r="AB507" t="str">
        <f t="shared" si="71"/>
        <v>Corporate</v>
      </c>
      <c r="AC507" t="str">
        <f t="shared" si="72"/>
        <v>West</v>
      </c>
      <c r="AD507" t="str">
        <f t="shared" si="73"/>
        <v>Madhya Pradesh</v>
      </c>
      <c r="AE507" t="str">
        <f t="shared" si="74"/>
        <v>Indore</v>
      </c>
      <c r="AF507" t="str">
        <f t="shared" si="75"/>
        <v>Office Supplies</v>
      </c>
      <c r="AG507" t="str">
        <f t="shared" si="76"/>
        <v>Art</v>
      </c>
      <c r="AH507" t="str">
        <f t="shared" si="77"/>
        <v>Classic Art 339</v>
      </c>
      <c r="AI507" t="str">
        <f t="shared" si="78"/>
        <v>First Class</v>
      </c>
      <c r="AJ507" s="3" t="str">
        <f t="shared" si="79"/>
        <v>anomaly</v>
      </c>
      <c r="AK507">
        <f t="shared" si="80"/>
        <v>5</v>
      </c>
    </row>
    <row r="508" spans="1:37">
      <c r="A508" t="s">
        <v>2458</v>
      </c>
      <c r="B508" t="s">
        <v>2459</v>
      </c>
      <c r="C508" t="s">
        <v>2460</v>
      </c>
      <c r="D508" t="s">
        <v>2461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2462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  <c r="W508" t="s">
        <v>2458</v>
      </c>
      <c r="X508" t="str">
        <v>15-12-24</v>
      </c>
      <c r="Y508" t="str">
        <v>15-12-24</v>
      </c>
      <c r="Z508" t="s">
        <v>2461</v>
      </c>
      <c r="AA508" t="str">
        <v>Aarav Sharma</v>
      </c>
      <c r="AB508" t="str">
        <f t="shared" si="71"/>
        <v>Small Business</v>
      </c>
      <c r="AC508" t="str">
        <f t="shared" si="72"/>
        <v>North</v>
      </c>
      <c r="AD508" t="str">
        <f t="shared" si="73"/>
        <v>Punjab</v>
      </c>
      <c r="AE508" t="str">
        <f t="shared" si="74"/>
        <v>Ludhiana</v>
      </c>
      <c r="AF508" t="str">
        <f t="shared" si="75"/>
        <v>Furniture</v>
      </c>
      <c r="AG508" t="str">
        <f t="shared" si="76"/>
        <v>Furnishings</v>
      </c>
      <c r="AH508" t="str">
        <f t="shared" si="77"/>
        <v>Smart Furnishings 352</v>
      </c>
      <c r="AI508" t="str">
        <f t="shared" si="78"/>
        <v>First Class</v>
      </c>
      <c r="AJ508" s="3" t="str">
        <f t="shared" si="79"/>
        <v xml:space="preserve">  </v>
      </c>
      <c r="AK508">
        <f t="shared" si="80"/>
        <v>0</v>
      </c>
    </row>
    <row r="509" spans="1:37">
      <c r="A509" t="s">
        <v>2463</v>
      </c>
      <c r="B509" t="s">
        <v>2141</v>
      </c>
      <c r="C509" t="s">
        <v>2107</v>
      </c>
      <c r="D509" t="s">
        <v>2464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2465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  <c r="W509" t="s">
        <v>2463</v>
      </c>
      <c r="X509" t="str">
        <v>15-04-25</v>
      </c>
      <c r="Y509" t="str">
        <v>22-04-25</v>
      </c>
      <c r="Z509" t="s">
        <v>2464</v>
      </c>
      <c r="AA509" t="str">
        <v>Isha Nair</v>
      </c>
      <c r="AB509" t="str">
        <f t="shared" si="71"/>
        <v>Small Business</v>
      </c>
      <c r="AC509" t="str">
        <f t="shared" si="72"/>
        <v>North</v>
      </c>
      <c r="AD509" t="str">
        <f t="shared" si="73"/>
        <v>Haryana</v>
      </c>
      <c r="AE509" t="str">
        <f t="shared" si="74"/>
        <v>Gurugram</v>
      </c>
      <c r="AF509" t="str">
        <f t="shared" si="75"/>
        <v>Office Supplies</v>
      </c>
      <c r="AG509" t="str">
        <f t="shared" si="76"/>
        <v>Binders</v>
      </c>
      <c r="AH509" t="str">
        <f t="shared" si="77"/>
        <v>Classic Binders 602</v>
      </c>
      <c r="AI509" t="str">
        <f t="shared" si="78"/>
        <v>Same Day</v>
      </c>
      <c r="AJ509" s="3" t="str">
        <f t="shared" si="79"/>
        <v>anomaly</v>
      </c>
      <c r="AK509">
        <f t="shared" si="80"/>
        <v>7</v>
      </c>
    </row>
    <row r="510" spans="1:37">
      <c r="A510" t="s">
        <v>2466</v>
      </c>
      <c r="B510" t="s">
        <v>2467</v>
      </c>
      <c r="C510" t="s">
        <v>1417</v>
      </c>
      <c r="D510" t="s">
        <v>2468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2469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  <c r="W510" t="s">
        <v>2466</v>
      </c>
      <c r="X510" t="str">
        <v>31-03-24</v>
      </c>
      <c r="Y510" t="str">
        <v>07-04-24</v>
      </c>
      <c r="Z510" t="s">
        <v>2468</v>
      </c>
      <c r="AA510" t="str">
        <v>Isha Nair</v>
      </c>
      <c r="AB510" t="str">
        <f t="shared" si="71"/>
        <v>Small Business</v>
      </c>
      <c r="AC510" t="str">
        <f t="shared" si="72"/>
        <v>North</v>
      </c>
      <c r="AD510" t="str">
        <f t="shared" si="73"/>
        <v>Haryana</v>
      </c>
      <c r="AE510" t="str">
        <f t="shared" si="74"/>
        <v>Gurugram</v>
      </c>
      <c r="AF510" t="str">
        <f t="shared" si="75"/>
        <v>Technology</v>
      </c>
      <c r="AG510" t="str">
        <f t="shared" si="76"/>
        <v>Machines</v>
      </c>
      <c r="AH510" t="str">
        <f t="shared" si="77"/>
        <v>Smart Machines 853</v>
      </c>
      <c r="AI510" t="str">
        <f t="shared" si="78"/>
        <v>Second Class</v>
      </c>
      <c r="AJ510" s="3" t="str">
        <f t="shared" si="79"/>
        <v xml:space="preserve">  </v>
      </c>
      <c r="AK510">
        <f t="shared" si="80"/>
        <v>7</v>
      </c>
    </row>
    <row r="511" spans="1:37">
      <c r="A511" t="s">
        <v>2470</v>
      </c>
      <c r="B511" t="s">
        <v>2471</v>
      </c>
      <c r="C511" t="s">
        <v>2472</v>
      </c>
      <c r="D511" t="s">
        <v>2473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2474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  <c r="W511" t="s">
        <v>2470</v>
      </c>
      <c r="X511" t="str">
        <v>12-05-25</v>
      </c>
      <c r="Y511" t="str">
        <v>invalid date</v>
      </c>
      <c r="Z511" t="s">
        <v>2473</v>
      </c>
      <c r="AA511" t="str">
        <v>Neha Gupta</v>
      </c>
      <c r="AB511" t="str">
        <f t="shared" si="71"/>
        <v>Consumer</v>
      </c>
      <c r="AC511" t="str">
        <f t="shared" si="72"/>
        <v>West</v>
      </c>
      <c r="AD511" t="str">
        <f t="shared" si="73"/>
        <v>Gujarat</v>
      </c>
      <c r="AE511" t="str">
        <f t="shared" si="74"/>
        <v>Ahmedabad</v>
      </c>
      <c r="AF511" t="str">
        <f t="shared" si="75"/>
        <v>Technology</v>
      </c>
      <c r="AG511" t="str">
        <f t="shared" si="76"/>
        <v>Machines</v>
      </c>
      <c r="AH511" t="str">
        <f t="shared" si="77"/>
        <v>Classic Machines 599</v>
      </c>
      <c r="AI511" t="str">
        <f t="shared" si="78"/>
        <v>Same Day</v>
      </c>
      <c r="AJ511" s="3" t="str">
        <f t="shared" si="79"/>
        <v>Invalid</v>
      </c>
      <c r="AK511" t="str">
        <f t="shared" si="80"/>
        <v>invalid date</v>
      </c>
    </row>
    <row r="512" spans="1:37">
      <c r="A512" t="s">
        <v>2475</v>
      </c>
      <c r="B512" t="s">
        <v>644</v>
      </c>
      <c r="C512" t="s">
        <v>2476</v>
      </c>
      <c r="D512" t="s">
        <v>2477</v>
      </c>
      <c r="E512" t="s">
        <v>2478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2479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  <c r="W512" t="s">
        <v>2475</v>
      </c>
      <c r="X512" t="str">
        <v>invalid date</v>
      </c>
      <c r="Y512" t="str">
        <v>21-10-24</v>
      </c>
      <c r="Z512" t="s">
        <v>2477</v>
      </c>
      <c r="AA512" t="str">
        <v>Aarav Sharma</v>
      </c>
      <c r="AB512" t="str">
        <f t="shared" si="71"/>
        <v>Consumer</v>
      </c>
      <c r="AC512" t="str">
        <f t="shared" si="72"/>
        <v>South</v>
      </c>
      <c r="AD512" t="str">
        <f t="shared" si="73"/>
        <v>Karnataka</v>
      </c>
      <c r="AE512" t="str">
        <f t="shared" si="74"/>
        <v>Bengaluru</v>
      </c>
      <c r="AF512" t="str">
        <f t="shared" si="75"/>
        <v>Office Supplies</v>
      </c>
      <c r="AG512" t="str">
        <f t="shared" si="76"/>
        <v>Storage</v>
      </c>
      <c r="AH512" t="str">
        <f t="shared" si="77"/>
        <v>Pro Storage 373</v>
      </c>
      <c r="AI512" t="str">
        <f t="shared" si="78"/>
        <v>Second Class</v>
      </c>
      <c r="AJ512" s="3" t="str">
        <f t="shared" si="79"/>
        <v>Invalid</v>
      </c>
      <c r="AK512" t="str">
        <f t="shared" si="80"/>
        <v>invalid date</v>
      </c>
    </row>
    <row r="513" spans="1:37">
      <c r="A513" t="s">
        <v>2480</v>
      </c>
      <c r="B513" t="s">
        <v>2481</v>
      </c>
      <c r="C513" t="s">
        <v>2482</v>
      </c>
      <c r="D513" t="s">
        <v>2483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2484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  <c r="W513" t="s">
        <v>2480</v>
      </c>
      <c r="X513" t="str">
        <v>invalid date</v>
      </c>
      <c r="Y513" t="str">
        <v>26-10-24</v>
      </c>
      <c r="Z513" t="s">
        <v>2483</v>
      </c>
      <c r="AA513" t="str">
        <v>Sneha Kapoor</v>
      </c>
      <c r="AB513" t="str">
        <f t="shared" si="71"/>
        <v>Consumer</v>
      </c>
      <c r="AC513" t="str">
        <f t="shared" si="72"/>
        <v>West</v>
      </c>
      <c r="AD513" t="str">
        <f t="shared" si="73"/>
        <v>Madhya Pradesh</v>
      </c>
      <c r="AE513" t="str">
        <f t="shared" si="74"/>
        <v>Indore</v>
      </c>
      <c r="AF513" t="str">
        <f t="shared" si="75"/>
        <v>Furniture</v>
      </c>
      <c r="AG513" t="str">
        <f t="shared" si="76"/>
        <v>Bookcases</v>
      </c>
      <c r="AH513" t="str">
        <f t="shared" si="77"/>
        <v>Smart Bookcases 920</v>
      </c>
      <c r="AI513" t="str">
        <f t="shared" si="78"/>
        <v>Standard Class</v>
      </c>
      <c r="AJ513" s="3" t="str">
        <f t="shared" si="79"/>
        <v>Invalid</v>
      </c>
      <c r="AK513" t="str">
        <f t="shared" si="80"/>
        <v>invalid date</v>
      </c>
    </row>
    <row r="514" spans="1:37">
      <c r="A514" t="s">
        <v>2485</v>
      </c>
      <c r="B514" t="s">
        <v>785</v>
      </c>
      <c r="C514" t="s">
        <v>2486</v>
      </c>
      <c r="D514" t="s">
        <v>1898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2487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  <c r="W514" t="s">
        <v>2485</v>
      </c>
      <c r="X514" t="str">
        <v>03-02-25</v>
      </c>
      <c r="Y514" t="str">
        <v>03-03-25</v>
      </c>
      <c r="Z514" t="s">
        <v>1898</v>
      </c>
      <c r="AA514" t="str">
        <v>Isha Nair</v>
      </c>
      <c r="AB514" t="str">
        <f t="shared" si="71"/>
        <v>Corporate</v>
      </c>
      <c r="AC514" t="str">
        <f t="shared" si="72"/>
        <v>South</v>
      </c>
      <c r="AD514" t="str">
        <f t="shared" si="73"/>
        <v>Kerala</v>
      </c>
      <c r="AE514" t="str">
        <f t="shared" si="74"/>
        <v>Kochi</v>
      </c>
      <c r="AF514" t="str">
        <f t="shared" si="75"/>
        <v>Office Supplies</v>
      </c>
      <c r="AG514" t="str">
        <f t="shared" si="76"/>
        <v>Labels</v>
      </c>
      <c r="AH514" t="str">
        <f t="shared" si="77"/>
        <v>Pro Labels 849</v>
      </c>
      <c r="AI514" t="str">
        <f t="shared" si="78"/>
        <v>Second Class</v>
      </c>
      <c r="AJ514" s="3" t="str">
        <f t="shared" si="79"/>
        <v>anomaly</v>
      </c>
      <c r="AK514">
        <f t="shared" si="80"/>
        <v>28</v>
      </c>
    </row>
    <row r="515" spans="1:37">
      <c r="A515" t="s">
        <v>2488</v>
      </c>
      <c r="B515" t="s">
        <v>996</v>
      </c>
      <c r="C515" t="s">
        <v>2395</v>
      </c>
      <c r="D515" t="s">
        <v>2489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2490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  <c r="W515" t="s">
        <v>2488</v>
      </c>
      <c r="X515" t="str">
        <v>27-06-25</v>
      </c>
      <c r="Y515" t="str">
        <v>07-02-25</v>
      </c>
      <c r="Z515" t="s">
        <v>2489</v>
      </c>
      <c r="AA515" t="str">
        <v>Aarav Sharma</v>
      </c>
      <c r="AB515" t="str">
        <f t="shared" ref="AB515:AB578" si="81">TRIM(PROPER(F:F))</f>
        <v>Corporate</v>
      </c>
      <c r="AC515" t="str">
        <f t="shared" ref="AC515:AC577" si="82">TRIM(PROPER(G:G))</f>
        <v>South</v>
      </c>
      <c r="AD515" t="str">
        <f t="shared" ref="AD515:AD578" si="83">TRIM(PROPER(H:H))</f>
        <v>Kerala</v>
      </c>
      <c r="AE515" t="str">
        <f t="shared" ref="AE515:AE578" si="84">TRIM(PROPER(I:I))</f>
        <v>Kochi</v>
      </c>
      <c r="AF515" t="str">
        <f t="shared" ref="AF515:AF578" si="85">TRIM(PROPER(J:J))</f>
        <v>Technology</v>
      </c>
      <c r="AG515" t="str">
        <f t="shared" ref="AG515:AG578" si="86">TRIM(PROPER(K:K))</f>
        <v>Accessories</v>
      </c>
      <c r="AH515" t="str">
        <f t="shared" ref="AH515:AH578" si="87">TRIM(PROPER(L:L))</f>
        <v>Prime Accessories 849</v>
      </c>
      <c r="AI515" t="str">
        <f t="shared" ref="AI515:AI578" si="88">TRIM(PROPER(M:M))</f>
        <v>First Class</v>
      </c>
      <c r="AJ515" s="3" t="str">
        <f t="shared" ref="AJ515:AJ578" si="89">IF(OR(X:X="Invalid Date",Y:Y="Invalid Date"),"Invalid",(IF(X:X&lt;Y:Y,"anomaly", "  ")))</f>
        <v xml:space="preserve">  </v>
      </c>
      <c r="AK515">
        <f t="shared" ref="AK515:AK578" si="90">IFERROR(Y515-X515, "invalid date")</f>
        <v>-140</v>
      </c>
    </row>
    <row r="516" spans="1:37">
      <c r="A516" t="s">
        <v>2491</v>
      </c>
      <c r="B516" t="s">
        <v>2492</v>
      </c>
      <c r="C516" t="s">
        <v>2405</v>
      </c>
      <c r="D516" t="s">
        <v>2493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2494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  <c r="W516" t="s">
        <v>2491</v>
      </c>
      <c r="X516" t="str">
        <v>18-11-24</v>
      </c>
      <c r="Y516" t="str">
        <v>22-11-24</v>
      </c>
      <c r="Z516" t="s">
        <v>2493</v>
      </c>
      <c r="AA516" t="str">
        <v>Karan Malhotra</v>
      </c>
      <c r="AB516" t="str">
        <f t="shared" si="81"/>
        <v>Home Office</v>
      </c>
      <c r="AC516" t="str">
        <f t="shared" si="82"/>
        <v>South</v>
      </c>
      <c r="AD516" t="str">
        <f t="shared" si="83"/>
        <v>Kerala</v>
      </c>
      <c r="AE516" t="str">
        <f t="shared" si="84"/>
        <v>Kochi</v>
      </c>
      <c r="AF516" t="str">
        <f t="shared" si="85"/>
        <v>Technology</v>
      </c>
      <c r="AG516" t="str">
        <f t="shared" si="86"/>
        <v>Accessories</v>
      </c>
      <c r="AH516" t="str">
        <f t="shared" si="87"/>
        <v>Smart Accessories 388</v>
      </c>
      <c r="AI516" t="str">
        <f t="shared" si="88"/>
        <v>Standard Class</v>
      </c>
      <c r="AJ516" s="3" t="str">
        <f t="shared" si="89"/>
        <v>anomaly</v>
      </c>
      <c r="AK516">
        <f t="shared" si="90"/>
        <v>4</v>
      </c>
    </row>
    <row r="517" spans="1:37">
      <c r="A517" t="s">
        <v>2495</v>
      </c>
      <c r="B517" t="s">
        <v>2140</v>
      </c>
      <c r="C517" t="s">
        <v>2496</v>
      </c>
      <c r="D517" t="s">
        <v>2497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2498</v>
      </c>
      <c r="M517" t="s">
        <v>67</v>
      </c>
      <c r="N517">
        <v>1</v>
      </c>
      <c r="O517">
        <v>4458.49</v>
      </c>
      <c r="P517" s="5" t="s">
        <v>4117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  <c r="W517" t="s">
        <v>2495</v>
      </c>
      <c r="X517" t="str">
        <v>04-11-25</v>
      </c>
      <c r="Y517" t="str">
        <v>11-04-25</v>
      </c>
      <c r="Z517" t="s">
        <v>2497</v>
      </c>
      <c r="AA517" t="str">
        <v>Rahul Verma</v>
      </c>
      <c r="AB517" t="str">
        <f t="shared" si="81"/>
        <v>Corporate</v>
      </c>
      <c r="AC517" t="str">
        <f t="shared" si="82"/>
        <v>North</v>
      </c>
      <c r="AD517" t="str">
        <f t="shared" si="83"/>
        <v>Delhi</v>
      </c>
      <c r="AE517" t="str">
        <f t="shared" si="84"/>
        <v>New Delhi</v>
      </c>
      <c r="AF517" t="str">
        <f t="shared" si="85"/>
        <v>Office Supplies</v>
      </c>
      <c r="AG517" t="str">
        <f t="shared" si="86"/>
        <v>Paper</v>
      </c>
      <c r="AH517" t="str">
        <f t="shared" si="87"/>
        <v>Classic Paper 752</v>
      </c>
      <c r="AI517" t="str">
        <f t="shared" si="88"/>
        <v>Standard Class</v>
      </c>
      <c r="AJ517" s="3" t="str">
        <f t="shared" si="89"/>
        <v>anomaly</v>
      </c>
      <c r="AK517">
        <f t="shared" si="90"/>
        <v>-207</v>
      </c>
    </row>
    <row r="518" spans="1:37">
      <c r="A518" t="s">
        <v>2499</v>
      </c>
      <c r="B518" t="s">
        <v>2500</v>
      </c>
      <c r="C518" t="s">
        <v>2501</v>
      </c>
      <c r="D518" t="s">
        <v>2502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2503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  <c r="W518" t="s">
        <v>2499</v>
      </c>
      <c r="X518" t="str">
        <v>invalid date</v>
      </c>
      <c r="Y518" t="str">
        <v>04-10-24</v>
      </c>
      <c r="Z518" t="s">
        <v>2502</v>
      </c>
      <c r="AA518" t="str">
        <v>Kabir Singh</v>
      </c>
      <c r="AB518" t="str">
        <f t="shared" si="81"/>
        <v>Home Office</v>
      </c>
      <c r="AC518" t="str">
        <f t="shared" si="82"/>
        <v>North</v>
      </c>
      <c r="AD518" t="str">
        <f t="shared" si="83"/>
        <v>Delhi</v>
      </c>
      <c r="AE518" t="str">
        <f t="shared" si="84"/>
        <v>New Delhi</v>
      </c>
      <c r="AF518" t="str">
        <f t="shared" si="85"/>
        <v>Technology</v>
      </c>
      <c r="AG518" t="str">
        <f t="shared" si="86"/>
        <v>Copiers</v>
      </c>
      <c r="AH518" t="str">
        <f t="shared" si="87"/>
        <v>Classic Copiers 143</v>
      </c>
      <c r="AI518" t="str">
        <f t="shared" si="88"/>
        <v>Standard Class</v>
      </c>
      <c r="AJ518" s="3" t="str">
        <f t="shared" si="89"/>
        <v>Invalid</v>
      </c>
      <c r="AK518" t="str">
        <f t="shared" si="90"/>
        <v>invalid date</v>
      </c>
    </row>
    <row r="519" spans="1:37">
      <c r="A519" t="s">
        <v>2504</v>
      </c>
      <c r="B519" t="s">
        <v>2505</v>
      </c>
      <c r="C519" t="s">
        <v>1680</v>
      </c>
      <c r="D519" t="s">
        <v>2506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2507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  <c r="W519" t="s">
        <v>2504</v>
      </c>
      <c r="X519" t="str">
        <v>25-05-25</v>
      </c>
      <c r="Y519" t="str">
        <v>27-05-25</v>
      </c>
      <c r="Z519" t="s">
        <v>2506</v>
      </c>
      <c r="AA519" t="str">
        <v>Rahul Verma</v>
      </c>
      <c r="AB519" t="str">
        <f t="shared" si="81"/>
        <v>Consumer</v>
      </c>
      <c r="AC519" t="str">
        <f t="shared" si="82"/>
        <v>East</v>
      </c>
      <c r="AD519" t="str">
        <f t="shared" si="83"/>
        <v>Odisha</v>
      </c>
      <c r="AE519" t="str">
        <f t="shared" si="84"/>
        <v>Bhubaneswar</v>
      </c>
      <c r="AF519" t="str">
        <f t="shared" si="85"/>
        <v>Furniture</v>
      </c>
      <c r="AG519" t="str">
        <f t="shared" si="86"/>
        <v>Furnishings</v>
      </c>
      <c r="AH519" t="str">
        <f t="shared" si="87"/>
        <v>Basic Furnishings 386</v>
      </c>
      <c r="AI519" t="str">
        <f t="shared" si="88"/>
        <v>Second Class</v>
      </c>
      <c r="AJ519" s="3" t="str">
        <f t="shared" si="89"/>
        <v>anomaly</v>
      </c>
      <c r="AK519">
        <f t="shared" si="90"/>
        <v>2</v>
      </c>
    </row>
    <row r="520" spans="1:37">
      <c r="A520" t="s">
        <v>2508</v>
      </c>
      <c r="B520" t="s">
        <v>2390</v>
      </c>
      <c r="C520" t="s">
        <v>2509</v>
      </c>
      <c r="D520" t="s">
        <v>2510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2511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  <c r="W520" t="s">
        <v>2508</v>
      </c>
      <c r="X520" t="str">
        <v>30-04-25</v>
      </c>
      <c r="Y520" t="str">
        <v>26-04-25</v>
      </c>
      <c r="Z520" t="s">
        <v>2510</v>
      </c>
      <c r="AA520" t="str">
        <v>Diya Patel</v>
      </c>
      <c r="AB520" t="str">
        <f t="shared" si="81"/>
        <v>Corporate</v>
      </c>
      <c r="AC520" t="str">
        <f t="shared" si="82"/>
        <v>East</v>
      </c>
      <c r="AD520" t="str">
        <f t="shared" si="83"/>
        <v>Odisha</v>
      </c>
      <c r="AE520" t="str">
        <f t="shared" si="84"/>
        <v>Bhubaneswar</v>
      </c>
      <c r="AF520" t="str">
        <f t="shared" si="85"/>
        <v>Furniture</v>
      </c>
      <c r="AG520" t="str">
        <f t="shared" si="86"/>
        <v>Tables</v>
      </c>
      <c r="AH520" t="str">
        <f t="shared" si="87"/>
        <v>Classic Tables 592</v>
      </c>
      <c r="AI520" t="str">
        <f t="shared" si="88"/>
        <v>First Class</v>
      </c>
      <c r="AJ520" s="3" t="str">
        <f t="shared" si="89"/>
        <v xml:space="preserve">  </v>
      </c>
      <c r="AK520">
        <f t="shared" si="90"/>
        <v>-4</v>
      </c>
    </row>
    <row r="521" spans="1:37">
      <c r="A521" t="s">
        <v>2512</v>
      </c>
      <c r="B521" t="s">
        <v>380</v>
      </c>
      <c r="C521" t="s">
        <v>2513</v>
      </c>
      <c r="D521" t="s">
        <v>2514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2515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  <c r="W521" t="s">
        <v>2512</v>
      </c>
      <c r="X521" t="str">
        <v>03-07-25</v>
      </c>
      <c r="Y521" t="str">
        <v>07-07-25</v>
      </c>
      <c r="Z521" t="s">
        <v>2514</v>
      </c>
      <c r="AA521" t="str">
        <v>Priya Menon</v>
      </c>
      <c r="AB521" t="str">
        <f t="shared" si="81"/>
        <v>Consumer</v>
      </c>
      <c r="AC521" t="str">
        <f t="shared" si="82"/>
        <v>North</v>
      </c>
      <c r="AD521" t="str">
        <f t="shared" si="83"/>
        <v>Uttar Pradesh</v>
      </c>
      <c r="AE521" t="str">
        <f t="shared" si="84"/>
        <v>Noida</v>
      </c>
      <c r="AF521" t="str">
        <f t="shared" si="85"/>
        <v>Furniture</v>
      </c>
      <c r="AG521" t="str">
        <f t="shared" si="86"/>
        <v>Tables</v>
      </c>
      <c r="AH521" t="str">
        <f t="shared" si="87"/>
        <v>Pro Tables 412</v>
      </c>
      <c r="AI521" t="str">
        <f t="shared" si="88"/>
        <v>Standard Class</v>
      </c>
      <c r="AJ521" s="3" t="str">
        <f t="shared" si="89"/>
        <v>anomaly</v>
      </c>
      <c r="AK521">
        <f t="shared" si="90"/>
        <v>4</v>
      </c>
    </row>
    <row r="522" spans="1:37">
      <c r="A522" t="s">
        <v>2516</v>
      </c>
      <c r="B522" t="s">
        <v>1108</v>
      </c>
      <c r="C522" t="s">
        <v>2517</v>
      </c>
      <c r="D522" t="s">
        <v>2518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2519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  <c r="W522" t="s">
        <v>2516</v>
      </c>
      <c r="X522" t="str">
        <v>16-07-24</v>
      </c>
      <c r="Y522" t="str">
        <v>23-07-24</v>
      </c>
      <c r="Z522" t="s">
        <v>2518</v>
      </c>
      <c r="AA522" t="str">
        <v>Aarav Sharma</v>
      </c>
      <c r="AB522" t="str">
        <f t="shared" si="81"/>
        <v>Home Office</v>
      </c>
      <c r="AC522" t="str">
        <f t="shared" si="82"/>
        <v>South</v>
      </c>
      <c r="AD522" t="str">
        <f t="shared" si="83"/>
        <v>Karnataka</v>
      </c>
      <c r="AE522" t="str">
        <f t="shared" si="84"/>
        <v>Bengaluru</v>
      </c>
      <c r="AF522" t="str">
        <f t="shared" si="85"/>
        <v>Technology</v>
      </c>
      <c r="AG522" t="str">
        <f t="shared" si="86"/>
        <v>Machines</v>
      </c>
      <c r="AH522" t="str">
        <f t="shared" si="87"/>
        <v>Prime Machines 393</v>
      </c>
      <c r="AI522" t="str">
        <f t="shared" si="88"/>
        <v>Same Day</v>
      </c>
      <c r="AJ522" s="3" t="str">
        <f t="shared" si="89"/>
        <v>anomaly</v>
      </c>
      <c r="AK522">
        <f t="shared" si="90"/>
        <v>7</v>
      </c>
    </row>
    <row r="523" spans="1:37">
      <c r="A523" t="s">
        <v>2520</v>
      </c>
      <c r="B523" t="s">
        <v>2521</v>
      </c>
      <c r="C523" t="s">
        <v>2522</v>
      </c>
      <c r="D523" t="s">
        <v>2523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2524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  <c r="W523" t="s">
        <v>2520</v>
      </c>
      <c r="X523" t="str">
        <v>25-03-25</v>
      </c>
      <c r="Y523" t="str">
        <v>01-04-25</v>
      </c>
      <c r="Z523" t="s">
        <v>2523</v>
      </c>
      <c r="AA523" t="str">
        <v>Diya Patel</v>
      </c>
      <c r="AB523" t="str">
        <f t="shared" si="81"/>
        <v>Consumer</v>
      </c>
      <c r="AC523" t="str">
        <f t="shared" si="82"/>
        <v>North</v>
      </c>
      <c r="AD523" t="str">
        <f t="shared" si="83"/>
        <v>Punjab</v>
      </c>
      <c r="AE523" t="str">
        <f t="shared" si="84"/>
        <v>Ludhiana</v>
      </c>
      <c r="AF523" t="str">
        <f t="shared" si="85"/>
        <v>Office Supplies</v>
      </c>
      <c r="AG523" t="str">
        <f t="shared" si="86"/>
        <v>Labels</v>
      </c>
      <c r="AH523" t="str">
        <f t="shared" si="87"/>
        <v>Classic Labels 776</v>
      </c>
      <c r="AI523" t="str">
        <f t="shared" si="88"/>
        <v>Second Class</v>
      </c>
      <c r="AJ523" s="3" t="str">
        <f t="shared" si="89"/>
        <v xml:space="preserve">  </v>
      </c>
      <c r="AK523">
        <f t="shared" si="90"/>
        <v>7</v>
      </c>
    </row>
    <row r="524" spans="1:37">
      <c r="A524" t="s">
        <v>2525</v>
      </c>
      <c r="B524" t="s">
        <v>2526</v>
      </c>
      <c r="C524" t="s">
        <v>2322</v>
      </c>
      <c r="D524" t="s">
        <v>2527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2528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  <c r="W524" t="s">
        <v>2525</v>
      </c>
      <c r="X524" t="str">
        <v>invalid date</v>
      </c>
      <c r="Y524" t="str">
        <v>08-03-25</v>
      </c>
      <c r="Z524" t="s">
        <v>2527</v>
      </c>
      <c r="AA524" t="str">
        <v>Neha Gupta</v>
      </c>
      <c r="AB524" t="str">
        <f t="shared" si="81"/>
        <v>Small Business</v>
      </c>
      <c r="AC524" t="str">
        <f t="shared" si="82"/>
        <v>East</v>
      </c>
      <c r="AD524" t="str">
        <f t="shared" si="83"/>
        <v>Jharkhand</v>
      </c>
      <c r="AE524" t="str">
        <f t="shared" si="84"/>
        <v>Ranchi</v>
      </c>
      <c r="AF524" t="str">
        <f t="shared" si="85"/>
        <v>Technology</v>
      </c>
      <c r="AG524" t="str">
        <f t="shared" si="86"/>
        <v>Phones</v>
      </c>
      <c r="AH524" t="str">
        <f t="shared" si="87"/>
        <v>Max Phones 612</v>
      </c>
      <c r="AI524" t="str">
        <f t="shared" si="88"/>
        <v>First Class</v>
      </c>
      <c r="AJ524" s="3" t="str">
        <f t="shared" si="89"/>
        <v>Invalid</v>
      </c>
      <c r="AK524" t="str">
        <f t="shared" si="90"/>
        <v>invalid date</v>
      </c>
    </row>
    <row r="525" spans="1:37">
      <c r="A525" t="s">
        <v>2529</v>
      </c>
      <c r="B525" t="s">
        <v>2530</v>
      </c>
      <c r="C525" t="s">
        <v>2531</v>
      </c>
      <c r="D525" t="s">
        <v>2532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2533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  <c r="W525" t="s">
        <v>2529</v>
      </c>
      <c r="X525" t="str">
        <v>02-04-24</v>
      </c>
      <c r="Y525" t="str">
        <v>03-04-24</v>
      </c>
      <c r="Z525" t="s">
        <v>2532</v>
      </c>
      <c r="AA525" t="str">
        <v>Kabir Singh</v>
      </c>
      <c r="AB525" t="str">
        <f t="shared" si="81"/>
        <v>Home Office</v>
      </c>
      <c r="AC525" t="str">
        <f t="shared" si="82"/>
        <v>West</v>
      </c>
      <c r="AD525" t="str">
        <f t="shared" si="83"/>
        <v>Goa</v>
      </c>
      <c r="AE525" t="str">
        <f t="shared" si="84"/>
        <v>Panaji</v>
      </c>
      <c r="AF525" t="str">
        <f t="shared" si="85"/>
        <v>Office Supplies</v>
      </c>
      <c r="AG525" t="str">
        <f t="shared" si="86"/>
        <v>Paper</v>
      </c>
      <c r="AH525" t="str">
        <f t="shared" si="87"/>
        <v>Basic Paper 315</v>
      </c>
      <c r="AI525" t="str">
        <f t="shared" si="88"/>
        <v>Second Class</v>
      </c>
      <c r="AJ525" s="3" t="str">
        <f t="shared" si="89"/>
        <v>anomaly</v>
      </c>
      <c r="AK525">
        <f t="shared" si="90"/>
        <v>1</v>
      </c>
    </row>
    <row r="526" spans="1:37">
      <c r="A526" t="s">
        <v>2534</v>
      </c>
      <c r="B526" t="s">
        <v>2535</v>
      </c>
      <c r="C526" t="s">
        <v>2536</v>
      </c>
      <c r="D526" t="s">
        <v>2537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2538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  <c r="W526" t="s">
        <v>2534</v>
      </c>
      <c r="X526" t="str">
        <v>30-11-24</v>
      </c>
      <c r="Y526" t="str">
        <v>01-12-24</v>
      </c>
      <c r="Z526" t="s">
        <v>2537</v>
      </c>
      <c r="AA526" t="str">
        <v>Ananya Rao</v>
      </c>
      <c r="AB526" t="str">
        <f t="shared" si="81"/>
        <v>Corporate</v>
      </c>
      <c r="AC526" t="str">
        <f t="shared" si="82"/>
        <v>West</v>
      </c>
      <c r="AD526" t="str">
        <f t="shared" si="83"/>
        <v>Gujarat</v>
      </c>
      <c r="AE526" t="str">
        <f t="shared" si="84"/>
        <v>Ahmedabad</v>
      </c>
      <c r="AF526" t="str">
        <f t="shared" si="85"/>
        <v>Furniture</v>
      </c>
      <c r="AG526" t="str">
        <f t="shared" si="86"/>
        <v>Chairs</v>
      </c>
      <c r="AH526" t="str">
        <f t="shared" si="87"/>
        <v>Basic Chairs 333</v>
      </c>
      <c r="AI526" t="str">
        <f t="shared" si="88"/>
        <v>First Class</v>
      </c>
      <c r="AJ526" s="3" t="str">
        <f t="shared" si="89"/>
        <v xml:space="preserve">  </v>
      </c>
      <c r="AK526">
        <f t="shared" si="90"/>
        <v>1</v>
      </c>
    </row>
    <row r="527" spans="1:37">
      <c r="A527" t="s">
        <v>2539</v>
      </c>
      <c r="B527" t="s">
        <v>2540</v>
      </c>
      <c r="C527" t="s">
        <v>2541</v>
      </c>
      <c r="D527" t="s">
        <v>2542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2543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  <c r="W527" t="s">
        <v>2539</v>
      </c>
      <c r="X527" t="str">
        <v>invalid date</v>
      </c>
      <c r="Y527" t="str">
        <v>17-10-24</v>
      </c>
      <c r="Z527" t="s">
        <v>2542</v>
      </c>
      <c r="AA527" t="str">
        <v>Priya Menon</v>
      </c>
      <c r="AB527" t="str">
        <f t="shared" si="81"/>
        <v>Home Office</v>
      </c>
      <c r="AC527" t="str">
        <f t="shared" si="82"/>
        <v>East</v>
      </c>
      <c r="AD527" t="str">
        <f t="shared" si="83"/>
        <v>West Bengal</v>
      </c>
      <c r="AE527" t="str">
        <f t="shared" si="84"/>
        <v>Kolkata</v>
      </c>
      <c r="AF527" t="str">
        <f t="shared" si="85"/>
        <v>Furniture</v>
      </c>
      <c r="AG527" t="str">
        <f t="shared" si="86"/>
        <v>Chairs</v>
      </c>
      <c r="AH527" t="str">
        <f t="shared" si="87"/>
        <v>Prime Chairs 215</v>
      </c>
      <c r="AI527" t="str">
        <f t="shared" si="88"/>
        <v>Standard Class</v>
      </c>
      <c r="AJ527" s="3" t="str">
        <f t="shared" si="89"/>
        <v>Invalid</v>
      </c>
      <c r="AK527" t="str">
        <f t="shared" si="90"/>
        <v>invalid date</v>
      </c>
    </row>
    <row r="528" spans="1:37">
      <c r="A528" t="s">
        <v>2544</v>
      </c>
      <c r="B528" t="s">
        <v>2545</v>
      </c>
      <c r="C528" t="s">
        <v>2546</v>
      </c>
      <c r="D528" t="s">
        <v>2547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2548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  <c r="W528" t="s">
        <v>2544</v>
      </c>
      <c r="X528" t="str">
        <v>18-07-25</v>
      </c>
      <c r="Y528" t="str">
        <v>21-07-25</v>
      </c>
      <c r="Z528" t="s">
        <v>2547</v>
      </c>
      <c r="AA528" t="str">
        <v>Priya Menon</v>
      </c>
      <c r="AB528" t="str">
        <f t="shared" si="81"/>
        <v>Consumer</v>
      </c>
      <c r="AC528" t="str">
        <f t="shared" si="82"/>
        <v>East</v>
      </c>
      <c r="AD528" t="str">
        <f t="shared" si="83"/>
        <v>Odisha</v>
      </c>
      <c r="AE528" t="str">
        <f t="shared" si="84"/>
        <v>Bhubaneswar</v>
      </c>
      <c r="AF528" t="str">
        <f t="shared" si="85"/>
        <v>Furniture</v>
      </c>
      <c r="AG528" t="str">
        <f t="shared" si="86"/>
        <v>Tables</v>
      </c>
      <c r="AH528" t="str">
        <f t="shared" si="87"/>
        <v>Elite Tables 815</v>
      </c>
      <c r="AI528" t="str">
        <f t="shared" si="88"/>
        <v>Second Class</v>
      </c>
      <c r="AJ528" s="3" t="str">
        <f t="shared" si="89"/>
        <v>anomaly</v>
      </c>
      <c r="AK528">
        <f t="shared" si="90"/>
        <v>3</v>
      </c>
    </row>
    <row r="529" spans="1:37">
      <c r="A529" t="s">
        <v>2549</v>
      </c>
      <c r="B529" t="s">
        <v>2550</v>
      </c>
      <c r="C529" t="s">
        <v>2551</v>
      </c>
      <c r="D529" t="s">
        <v>2552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2553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  <c r="W529" t="s">
        <v>2549</v>
      </c>
      <c r="X529" t="str">
        <v>01-10-25</v>
      </c>
      <c r="Y529" t="str">
        <v>05-10-25</v>
      </c>
      <c r="Z529" t="s">
        <v>2552</v>
      </c>
      <c r="AA529" t="str">
        <v>Aditi Sen</v>
      </c>
      <c r="AB529" t="str">
        <f t="shared" si="81"/>
        <v>Home Office</v>
      </c>
      <c r="AC529" t="str">
        <f t="shared" si="82"/>
        <v>North</v>
      </c>
      <c r="AD529" t="str">
        <f t="shared" si="83"/>
        <v>Haryana</v>
      </c>
      <c r="AE529" t="str">
        <f t="shared" si="84"/>
        <v>Gurugram</v>
      </c>
      <c r="AF529" t="str">
        <f t="shared" si="85"/>
        <v>Office Supplies</v>
      </c>
      <c r="AG529" t="str">
        <f t="shared" si="86"/>
        <v>Paper</v>
      </c>
      <c r="AH529" t="str">
        <f t="shared" si="87"/>
        <v>Basic Paper 388</v>
      </c>
      <c r="AI529" t="str">
        <f t="shared" si="88"/>
        <v>First Class</v>
      </c>
      <c r="AJ529" s="3" t="str">
        <f t="shared" si="89"/>
        <v>anomaly</v>
      </c>
      <c r="AK529">
        <f t="shared" si="90"/>
        <v>4</v>
      </c>
    </row>
    <row r="530" spans="1:37">
      <c r="A530" t="s">
        <v>2554</v>
      </c>
      <c r="B530" t="s">
        <v>2555</v>
      </c>
      <c r="C530" t="s">
        <v>2556</v>
      </c>
      <c r="D530" t="s">
        <v>2557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2558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  <c r="W530" t="s">
        <v>2554</v>
      </c>
      <c r="X530" t="str">
        <v>07-10-24</v>
      </c>
      <c r="Y530" t="str">
        <v>09-10-24</v>
      </c>
      <c r="Z530" t="s">
        <v>2557</v>
      </c>
      <c r="AA530" t="str">
        <v>Diya Patel</v>
      </c>
      <c r="AB530" t="str">
        <f t="shared" si="81"/>
        <v>Consumer</v>
      </c>
      <c r="AC530" t="str">
        <f t="shared" si="82"/>
        <v>South</v>
      </c>
      <c r="AD530" t="str">
        <f t="shared" si="83"/>
        <v>Tamil Nadu</v>
      </c>
      <c r="AE530" t="str">
        <f t="shared" si="84"/>
        <v>Chennai</v>
      </c>
      <c r="AF530" t="str">
        <f t="shared" si="85"/>
        <v>Office Supplies</v>
      </c>
      <c r="AG530" t="str">
        <f t="shared" si="86"/>
        <v>Binders</v>
      </c>
      <c r="AH530" t="str">
        <f t="shared" si="87"/>
        <v>Eco Binders 855</v>
      </c>
      <c r="AI530" t="str">
        <f t="shared" si="88"/>
        <v>Standard Class</v>
      </c>
      <c r="AJ530" s="3" t="str">
        <f t="shared" si="89"/>
        <v>anomaly</v>
      </c>
      <c r="AK530">
        <f t="shared" si="90"/>
        <v>2</v>
      </c>
    </row>
    <row r="531" spans="1:37">
      <c r="A531" t="s">
        <v>2559</v>
      </c>
      <c r="B531" t="s">
        <v>2278</v>
      </c>
      <c r="C531" t="s">
        <v>2560</v>
      </c>
      <c r="D531" t="s">
        <v>1109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2561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  <c r="W531" t="s">
        <v>2559</v>
      </c>
      <c r="X531" t="str">
        <v>06-02-24</v>
      </c>
      <c r="Y531" t="str">
        <v>08-02-24</v>
      </c>
      <c r="Z531" t="s">
        <v>1109</v>
      </c>
      <c r="AA531" t="str">
        <v>Karan Malhotra</v>
      </c>
      <c r="AB531" t="str">
        <f t="shared" si="81"/>
        <v>Consumer</v>
      </c>
      <c r="AC531" t="str">
        <f t="shared" si="82"/>
        <v>East</v>
      </c>
      <c r="AD531" t="str">
        <f t="shared" si="83"/>
        <v>Jharkhand</v>
      </c>
      <c r="AE531" t="str">
        <f t="shared" si="84"/>
        <v>Ranchi</v>
      </c>
      <c r="AF531" t="str">
        <f t="shared" si="85"/>
        <v>Furniture</v>
      </c>
      <c r="AG531" t="str">
        <f t="shared" si="86"/>
        <v>Bookcases</v>
      </c>
      <c r="AH531" t="str">
        <f t="shared" si="87"/>
        <v>Classic Bookcases 947</v>
      </c>
      <c r="AI531" t="str">
        <f t="shared" si="88"/>
        <v>Second Class</v>
      </c>
      <c r="AJ531" s="3" t="str">
        <f t="shared" si="89"/>
        <v>anomaly</v>
      </c>
      <c r="AK531">
        <f t="shared" si="90"/>
        <v>2</v>
      </c>
    </row>
    <row r="532" spans="1:37">
      <c r="A532" t="s">
        <v>2562</v>
      </c>
      <c r="B532" t="s">
        <v>2563</v>
      </c>
      <c r="C532" t="s">
        <v>2564</v>
      </c>
      <c r="D532" t="s">
        <v>2565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2566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  <c r="W532" t="s">
        <v>2562</v>
      </c>
      <c r="X532" t="str">
        <v>invalid date</v>
      </c>
      <c r="Y532" t="str">
        <v>01-06-25</v>
      </c>
      <c r="Z532" t="s">
        <v>2565</v>
      </c>
      <c r="AA532" t="str">
        <v>Rahul Verma</v>
      </c>
      <c r="AB532" t="str">
        <f t="shared" si="81"/>
        <v>Home Office</v>
      </c>
      <c r="AC532" t="str">
        <f t="shared" si="82"/>
        <v>South</v>
      </c>
      <c r="AD532" t="str">
        <f t="shared" si="83"/>
        <v>Tamil Nadu</v>
      </c>
      <c r="AE532" t="str">
        <f t="shared" si="84"/>
        <v>Chennai</v>
      </c>
      <c r="AF532" t="str">
        <f t="shared" si="85"/>
        <v>Office Supplies</v>
      </c>
      <c r="AG532" t="str">
        <f t="shared" si="86"/>
        <v>Binders</v>
      </c>
      <c r="AH532" t="str">
        <f t="shared" si="87"/>
        <v>Eco Binders 352</v>
      </c>
      <c r="AI532" t="str">
        <f t="shared" si="88"/>
        <v>Standard Class</v>
      </c>
      <c r="AJ532" s="3" t="str">
        <f t="shared" si="89"/>
        <v>Invalid</v>
      </c>
      <c r="AK532" t="str">
        <f t="shared" si="90"/>
        <v>invalid date</v>
      </c>
    </row>
    <row r="533" spans="1:37">
      <c r="A533" t="s">
        <v>2567</v>
      </c>
      <c r="B533" t="s">
        <v>1297</v>
      </c>
      <c r="C533" t="s">
        <v>2568</v>
      </c>
      <c r="D533" t="s">
        <v>2569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2570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  <c r="W533" t="s">
        <v>2567</v>
      </c>
      <c r="X533" t="str">
        <v>01-08-24</v>
      </c>
      <c r="Y533" t="str">
        <v>08-08-24</v>
      </c>
      <c r="Z533" t="s">
        <v>2569</v>
      </c>
      <c r="AA533" t="str">
        <v>Diya Patel</v>
      </c>
      <c r="AB533" t="str">
        <f t="shared" si="81"/>
        <v>Small Business</v>
      </c>
      <c r="AC533" t="str">
        <f t="shared" si="82"/>
        <v>West</v>
      </c>
      <c r="AD533" t="str">
        <f t="shared" si="83"/>
        <v>Maharashtra</v>
      </c>
      <c r="AE533" t="str">
        <f t="shared" si="84"/>
        <v>Mumbai</v>
      </c>
      <c r="AF533" t="str">
        <f t="shared" si="85"/>
        <v>Office Supplies</v>
      </c>
      <c r="AG533" t="str">
        <f t="shared" si="86"/>
        <v>Storage</v>
      </c>
      <c r="AH533" t="str">
        <f t="shared" si="87"/>
        <v>Pro Storage 364</v>
      </c>
      <c r="AI533" s="5" t="s">
        <v>4116</v>
      </c>
      <c r="AJ533" s="3" t="str">
        <f t="shared" si="89"/>
        <v>anomaly</v>
      </c>
      <c r="AK533">
        <f t="shared" si="90"/>
        <v>7</v>
      </c>
    </row>
    <row r="534" spans="1:37">
      <c r="A534" t="s">
        <v>2571</v>
      </c>
      <c r="B534" t="s">
        <v>2551</v>
      </c>
      <c r="C534" t="s">
        <v>308</v>
      </c>
      <c r="D534" t="s">
        <v>2572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2573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  <c r="W534" t="s">
        <v>2571</v>
      </c>
      <c r="X534" t="str">
        <v>05-10-25</v>
      </c>
      <c r="Y534" t="str">
        <v>10-10-25</v>
      </c>
      <c r="Z534" t="s">
        <v>2572</v>
      </c>
      <c r="AA534" t="str">
        <v>Priya Menon</v>
      </c>
      <c r="AB534" t="str">
        <f t="shared" si="81"/>
        <v>Corporate</v>
      </c>
      <c r="AC534" t="str">
        <f t="shared" si="82"/>
        <v>East</v>
      </c>
      <c r="AD534" t="str">
        <f t="shared" si="83"/>
        <v>Assam</v>
      </c>
      <c r="AE534" t="str">
        <f t="shared" si="84"/>
        <v>Guwahati</v>
      </c>
      <c r="AF534" t="str">
        <f t="shared" si="85"/>
        <v>Furniture</v>
      </c>
      <c r="AG534" t="str">
        <f t="shared" si="86"/>
        <v>Tables</v>
      </c>
      <c r="AH534" t="str">
        <f t="shared" si="87"/>
        <v>Classic Tables 213</v>
      </c>
      <c r="AI534" t="str">
        <f t="shared" si="88"/>
        <v>Second Class</v>
      </c>
      <c r="AJ534" s="3" t="str">
        <f t="shared" si="89"/>
        <v>anomaly</v>
      </c>
      <c r="AK534">
        <f t="shared" si="90"/>
        <v>5</v>
      </c>
    </row>
    <row r="535" spans="1:37">
      <c r="A535" t="s">
        <v>2574</v>
      </c>
      <c r="B535" t="s">
        <v>2575</v>
      </c>
      <c r="C535" t="s">
        <v>395</v>
      </c>
      <c r="D535" t="s">
        <v>2576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2577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  <c r="W535" t="s">
        <v>2574</v>
      </c>
      <c r="X535" t="str">
        <v>25-08-24</v>
      </c>
      <c r="Y535" t="str">
        <v>01-09-24</v>
      </c>
      <c r="Z535" t="s">
        <v>2576</v>
      </c>
      <c r="AA535" t="str">
        <v>Isha Nair</v>
      </c>
      <c r="AB535" t="str">
        <f t="shared" si="81"/>
        <v>Home Office</v>
      </c>
      <c r="AC535" t="str">
        <f t="shared" si="82"/>
        <v>North</v>
      </c>
      <c r="AD535" t="str">
        <f t="shared" si="83"/>
        <v>Rajasthan</v>
      </c>
      <c r="AE535" t="str">
        <f t="shared" si="84"/>
        <v>Jaipur</v>
      </c>
      <c r="AF535" t="str">
        <f t="shared" si="85"/>
        <v>Furniture</v>
      </c>
      <c r="AG535" t="str">
        <f t="shared" si="86"/>
        <v>Tables</v>
      </c>
      <c r="AH535" t="str">
        <f t="shared" si="87"/>
        <v>Smart Tables 659</v>
      </c>
      <c r="AI535" t="str">
        <f t="shared" si="88"/>
        <v>Same Day</v>
      </c>
      <c r="AJ535" s="3" t="str">
        <f t="shared" si="89"/>
        <v xml:space="preserve">  </v>
      </c>
      <c r="AK535">
        <f t="shared" si="90"/>
        <v>7</v>
      </c>
    </row>
    <row r="536" spans="1:37">
      <c r="A536" t="s">
        <v>2578</v>
      </c>
      <c r="B536" t="s">
        <v>2579</v>
      </c>
      <c r="C536" t="s">
        <v>2580</v>
      </c>
      <c r="D536" t="s">
        <v>2581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2582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  <c r="W536" t="s">
        <v>2578</v>
      </c>
      <c r="X536" t="str">
        <v>invalid date</v>
      </c>
      <c r="Y536" t="str">
        <v>05-05-25</v>
      </c>
      <c r="Z536" t="s">
        <v>2581</v>
      </c>
      <c r="AA536" t="str">
        <v>Rohan Mehta</v>
      </c>
      <c r="AB536" t="str">
        <f t="shared" si="81"/>
        <v>Home Office</v>
      </c>
      <c r="AC536" t="str">
        <f t="shared" si="82"/>
        <v>East</v>
      </c>
      <c r="AD536" t="str">
        <f t="shared" si="83"/>
        <v>Bihar</v>
      </c>
      <c r="AE536" t="str">
        <f t="shared" si="84"/>
        <v>Patna</v>
      </c>
      <c r="AF536" t="str">
        <f t="shared" si="85"/>
        <v>Technology</v>
      </c>
      <c r="AG536" t="str">
        <f t="shared" si="86"/>
        <v>Accessories</v>
      </c>
      <c r="AH536" t="str">
        <f t="shared" si="87"/>
        <v>Classic Accessories 325</v>
      </c>
      <c r="AI536" t="str">
        <f t="shared" si="88"/>
        <v>Second Class</v>
      </c>
      <c r="AJ536" s="3" t="str">
        <f t="shared" si="89"/>
        <v>Invalid</v>
      </c>
      <c r="AK536" t="str">
        <f t="shared" si="90"/>
        <v>invalid date</v>
      </c>
    </row>
    <row r="537" spans="1:37">
      <c r="A537" t="s">
        <v>2583</v>
      </c>
      <c r="B537" t="s">
        <v>2584</v>
      </c>
      <c r="C537" t="s">
        <v>2585</v>
      </c>
      <c r="D537" t="s">
        <v>2586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2587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  <c r="W537" t="s">
        <v>2583</v>
      </c>
      <c r="X537" t="str">
        <v>19-05-24</v>
      </c>
      <c r="Y537" t="str">
        <v>21-05-24</v>
      </c>
      <c r="Z537" t="s">
        <v>2586</v>
      </c>
      <c r="AA537" t="str">
        <v>Diya Patel</v>
      </c>
      <c r="AB537" t="str">
        <f t="shared" si="81"/>
        <v>Small Business</v>
      </c>
      <c r="AC537" t="str">
        <f t="shared" si="82"/>
        <v>West</v>
      </c>
      <c r="AD537" t="str">
        <f t="shared" si="83"/>
        <v>Maharashtra</v>
      </c>
      <c r="AE537" t="str">
        <f t="shared" si="84"/>
        <v>Mumbai</v>
      </c>
      <c r="AF537" t="str">
        <f t="shared" si="85"/>
        <v>Technology</v>
      </c>
      <c r="AG537" t="str">
        <f t="shared" si="86"/>
        <v>Copiers</v>
      </c>
      <c r="AH537" t="str">
        <f t="shared" si="87"/>
        <v>Eco Copiers 243</v>
      </c>
      <c r="AI537" t="str">
        <f t="shared" si="88"/>
        <v>First Class</v>
      </c>
      <c r="AJ537" s="3" t="str">
        <f t="shared" si="89"/>
        <v>anomaly</v>
      </c>
      <c r="AK537">
        <f t="shared" si="90"/>
        <v>2</v>
      </c>
    </row>
    <row r="538" spans="1:37">
      <c r="A538" t="s">
        <v>2588</v>
      </c>
      <c r="B538" t="s">
        <v>2589</v>
      </c>
      <c r="C538" t="s">
        <v>2590</v>
      </c>
      <c r="D538" t="s">
        <v>2591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2592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  <c r="W538" t="s">
        <v>2588</v>
      </c>
      <c r="X538" t="str">
        <v>10-04-25</v>
      </c>
      <c r="Y538" t="str">
        <v>17-04-25</v>
      </c>
      <c r="Z538" t="s">
        <v>2591</v>
      </c>
      <c r="AA538" t="str">
        <v>Ananya Rao</v>
      </c>
      <c r="AB538" t="str">
        <f t="shared" si="81"/>
        <v>Small Business</v>
      </c>
      <c r="AC538" t="str">
        <f t="shared" si="82"/>
        <v>West</v>
      </c>
      <c r="AD538" t="str">
        <f t="shared" si="83"/>
        <v>Rajasthan</v>
      </c>
      <c r="AE538" t="str">
        <f t="shared" si="84"/>
        <v>Udaipur</v>
      </c>
      <c r="AF538" t="str">
        <f t="shared" si="85"/>
        <v>Furniture</v>
      </c>
      <c r="AG538" t="str">
        <f t="shared" si="86"/>
        <v>Chairs</v>
      </c>
      <c r="AH538" t="str">
        <f t="shared" si="87"/>
        <v>Elite Chairs 777</v>
      </c>
      <c r="AI538" t="str">
        <f t="shared" si="88"/>
        <v>First Class</v>
      </c>
      <c r="AJ538" s="3" t="str">
        <f t="shared" si="89"/>
        <v>anomaly</v>
      </c>
      <c r="AK538">
        <f t="shared" si="90"/>
        <v>7</v>
      </c>
    </row>
    <row r="539" spans="1:37">
      <c r="A539" t="s">
        <v>2593</v>
      </c>
      <c r="B539" t="s">
        <v>2036</v>
      </c>
      <c r="C539" t="s">
        <v>2594</v>
      </c>
      <c r="D539" t="s">
        <v>2595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2596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  <c r="W539" t="s">
        <v>2593</v>
      </c>
      <c r="X539" t="str">
        <v>22-01-24</v>
      </c>
      <c r="Y539" t="str">
        <v>30-01-24</v>
      </c>
      <c r="Z539" t="s">
        <v>2595</v>
      </c>
      <c r="AA539" t="str">
        <v>Ananya Rao</v>
      </c>
      <c r="AB539" t="str">
        <f t="shared" si="81"/>
        <v>Small Business</v>
      </c>
      <c r="AC539" t="str">
        <f t="shared" si="82"/>
        <v>North</v>
      </c>
      <c r="AD539" t="str">
        <f t="shared" si="83"/>
        <v>Haryana</v>
      </c>
      <c r="AE539" t="str">
        <f t="shared" si="84"/>
        <v>Gurugram</v>
      </c>
      <c r="AF539" t="str">
        <f t="shared" si="85"/>
        <v>Office Supplies</v>
      </c>
      <c r="AG539" t="str">
        <f t="shared" si="86"/>
        <v>Art</v>
      </c>
      <c r="AH539" t="str">
        <f t="shared" si="87"/>
        <v>Classic Art 772</v>
      </c>
      <c r="AI539" t="str">
        <f t="shared" si="88"/>
        <v>Same Day</v>
      </c>
      <c r="AJ539" s="3" t="str">
        <f t="shared" si="89"/>
        <v>anomaly</v>
      </c>
      <c r="AK539">
        <f t="shared" si="90"/>
        <v>8</v>
      </c>
    </row>
    <row r="540" spans="1:37">
      <c r="A540" t="s">
        <v>2597</v>
      </c>
      <c r="B540" t="s">
        <v>2264</v>
      </c>
      <c r="C540" t="s">
        <v>2598</v>
      </c>
      <c r="D540" t="s">
        <v>2599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2600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  <c r="W540" t="s">
        <v>2597</v>
      </c>
      <c r="X540" t="str">
        <v>25-09-24</v>
      </c>
      <c r="Y540" t="str">
        <v>01-10-24</v>
      </c>
      <c r="Z540" t="s">
        <v>2599</v>
      </c>
      <c r="AA540" t="str">
        <v>Diya Patel</v>
      </c>
      <c r="AB540" t="str">
        <f t="shared" si="81"/>
        <v>Small Business</v>
      </c>
      <c r="AC540" t="str">
        <f t="shared" si="82"/>
        <v>East</v>
      </c>
      <c r="AD540" t="str">
        <f t="shared" si="83"/>
        <v>Jharkhand</v>
      </c>
      <c r="AE540" t="str">
        <f t="shared" si="84"/>
        <v>Ranchi</v>
      </c>
      <c r="AF540" t="str">
        <f t="shared" si="85"/>
        <v>Furniture</v>
      </c>
      <c r="AG540" t="str">
        <f t="shared" si="86"/>
        <v>Tables</v>
      </c>
      <c r="AH540" t="str">
        <f t="shared" si="87"/>
        <v>Elite Tables 888</v>
      </c>
      <c r="AI540" t="str">
        <f t="shared" si="88"/>
        <v>Second Class</v>
      </c>
      <c r="AJ540" s="3" t="str">
        <f t="shared" si="89"/>
        <v xml:space="preserve">  </v>
      </c>
      <c r="AK540">
        <f t="shared" si="90"/>
        <v>6</v>
      </c>
    </row>
    <row r="541" spans="1:37">
      <c r="A541" t="s">
        <v>2601</v>
      </c>
      <c r="B541" t="s">
        <v>1214</v>
      </c>
      <c r="C541" t="s">
        <v>2413</v>
      </c>
      <c r="D541" t="s">
        <v>2602</v>
      </c>
      <c r="E541" t="s">
        <v>2603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2604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  <c r="W541" t="s">
        <v>2601</v>
      </c>
      <c r="X541" t="str">
        <v>07-04-25</v>
      </c>
      <c r="Y541" t="str">
        <v>04-07-25</v>
      </c>
      <c r="Z541" t="s">
        <v>2602</v>
      </c>
      <c r="AA541" t="str">
        <v>mira das</v>
      </c>
      <c r="AB541" t="str">
        <f t="shared" si="81"/>
        <v>Small Business</v>
      </c>
      <c r="AC541" t="str">
        <f t="shared" si="82"/>
        <v>South</v>
      </c>
      <c r="AD541" t="str">
        <f t="shared" si="83"/>
        <v>Tamil Nadu</v>
      </c>
      <c r="AE541" t="str">
        <f t="shared" si="84"/>
        <v>Chennai</v>
      </c>
      <c r="AF541" t="str">
        <f t="shared" si="85"/>
        <v>Furniture</v>
      </c>
      <c r="AG541" t="str">
        <f t="shared" si="86"/>
        <v>Chairs</v>
      </c>
      <c r="AH541" t="str">
        <f t="shared" si="87"/>
        <v>Classic Chairs 666</v>
      </c>
      <c r="AI541" t="str">
        <f t="shared" si="88"/>
        <v>Standard Class</v>
      </c>
      <c r="AJ541" s="3" t="str">
        <f t="shared" si="89"/>
        <v xml:space="preserve">  </v>
      </c>
      <c r="AK541">
        <f t="shared" si="90"/>
        <v>88</v>
      </c>
    </row>
    <row r="542" spans="1:37">
      <c r="A542" t="s">
        <v>2605</v>
      </c>
      <c r="B542" t="s">
        <v>2606</v>
      </c>
      <c r="C542" t="s">
        <v>2341</v>
      </c>
      <c r="D542" t="s">
        <v>2607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2608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  <c r="W542" t="s">
        <v>2605</v>
      </c>
      <c r="X542" t="str">
        <v>26-02-24</v>
      </c>
      <c r="Y542" t="str">
        <v>23-02-24</v>
      </c>
      <c r="Z542" t="s">
        <v>2607</v>
      </c>
      <c r="AA542" t="str">
        <v>Kabir Singh</v>
      </c>
      <c r="AB542" t="str">
        <f t="shared" si="81"/>
        <v>Consumer</v>
      </c>
      <c r="AC542" t="str">
        <f t="shared" si="82"/>
        <v>West</v>
      </c>
      <c r="AD542" t="str">
        <f t="shared" si="83"/>
        <v>Gujarat</v>
      </c>
      <c r="AE542" t="str">
        <f t="shared" si="84"/>
        <v>Ahmedabad</v>
      </c>
      <c r="AF542" t="str">
        <f t="shared" si="85"/>
        <v>Furniture</v>
      </c>
      <c r="AG542" t="str">
        <f t="shared" si="86"/>
        <v>Furnishings</v>
      </c>
      <c r="AH542" t="str">
        <f t="shared" si="87"/>
        <v>Basic Furnishings 350</v>
      </c>
      <c r="AI542" t="str">
        <f t="shared" si="88"/>
        <v>Standard Class</v>
      </c>
      <c r="AJ542" s="3" t="str">
        <f t="shared" si="89"/>
        <v xml:space="preserve">  </v>
      </c>
      <c r="AK542">
        <f t="shared" si="90"/>
        <v>-3</v>
      </c>
    </row>
    <row r="543" spans="1:37">
      <c r="A543" t="s">
        <v>2609</v>
      </c>
      <c r="B543" t="s">
        <v>2610</v>
      </c>
      <c r="C543" t="s">
        <v>2611</v>
      </c>
      <c r="D543" t="s">
        <v>2612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2613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  <c r="W543" t="s">
        <v>2609</v>
      </c>
      <c r="X543" t="str">
        <v>08-07-25</v>
      </c>
      <c r="Y543" t="str">
        <v>09-07-25</v>
      </c>
      <c r="Z543" t="s">
        <v>2612</v>
      </c>
      <c r="AA543" t="str">
        <v>Sneha Kapoor</v>
      </c>
      <c r="AB543" t="str">
        <f t="shared" si="81"/>
        <v>Consumer</v>
      </c>
      <c r="AC543" t="str">
        <f t="shared" si="82"/>
        <v>West</v>
      </c>
      <c r="AD543" t="str">
        <f t="shared" si="83"/>
        <v>Maharashtra</v>
      </c>
      <c r="AE543" t="str">
        <f t="shared" si="84"/>
        <v>Mumbai</v>
      </c>
      <c r="AF543" t="str">
        <f t="shared" si="85"/>
        <v>Technology</v>
      </c>
      <c r="AG543" t="str">
        <f t="shared" si="86"/>
        <v>Copiers</v>
      </c>
      <c r="AH543" t="str">
        <f t="shared" si="87"/>
        <v>Elite Copiers 831</v>
      </c>
      <c r="AI543" t="str">
        <f t="shared" si="88"/>
        <v>Same Day</v>
      </c>
      <c r="AJ543" s="3" t="str">
        <f t="shared" si="89"/>
        <v>anomaly</v>
      </c>
      <c r="AK543">
        <f t="shared" si="90"/>
        <v>1</v>
      </c>
    </row>
    <row r="544" spans="1:37">
      <c r="A544" t="s">
        <v>2614</v>
      </c>
      <c r="B544" t="s">
        <v>2615</v>
      </c>
      <c r="C544" t="s">
        <v>2616</v>
      </c>
      <c r="D544" t="s">
        <v>2617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2618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2619</v>
      </c>
      <c r="W544" t="s">
        <v>2614</v>
      </c>
      <c r="X544" t="str">
        <v>invalid date</v>
      </c>
      <c r="Y544" t="str">
        <v>23-09-24</v>
      </c>
      <c r="Z544" t="s">
        <v>2617</v>
      </c>
      <c r="AA544" t="str">
        <v>Rahul Verma</v>
      </c>
      <c r="AB544" t="str">
        <f t="shared" si="81"/>
        <v>Home Office</v>
      </c>
      <c r="AC544" t="str">
        <f t="shared" si="82"/>
        <v>South</v>
      </c>
      <c r="AD544" t="str">
        <f t="shared" si="83"/>
        <v>Kerala</v>
      </c>
      <c r="AE544" t="str">
        <f t="shared" si="84"/>
        <v>Kochi</v>
      </c>
      <c r="AF544" t="str">
        <f t="shared" si="85"/>
        <v>Furniture</v>
      </c>
      <c r="AG544" t="str">
        <f t="shared" si="86"/>
        <v>Bookcases</v>
      </c>
      <c r="AH544" t="str">
        <f t="shared" si="87"/>
        <v>Eco Bookcases 759</v>
      </c>
      <c r="AI544" t="str">
        <f t="shared" si="88"/>
        <v>Second Class</v>
      </c>
      <c r="AJ544" s="3" t="str">
        <f t="shared" si="89"/>
        <v>Invalid</v>
      </c>
      <c r="AK544" t="str">
        <f t="shared" si="90"/>
        <v>invalid date</v>
      </c>
    </row>
    <row r="545" spans="1:37">
      <c r="A545" t="s">
        <v>2620</v>
      </c>
      <c r="B545" t="s">
        <v>2621</v>
      </c>
      <c r="C545" t="s">
        <v>400</v>
      </c>
      <c r="D545" t="s">
        <v>2622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2623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  <c r="W545" t="s">
        <v>2620</v>
      </c>
      <c r="X545" t="str">
        <v>14-07-24</v>
      </c>
      <c r="Y545" t="str">
        <v>20-07-24</v>
      </c>
      <c r="Z545" t="s">
        <v>2622</v>
      </c>
      <c r="AA545" t="str">
        <v>Mira Das</v>
      </c>
      <c r="AB545" t="str">
        <f t="shared" si="81"/>
        <v>Consumer</v>
      </c>
      <c r="AC545" t="str">
        <f t="shared" si="82"/>
        <v>East</v>
      </c>
      <c r="AD545" t="str">
        <f t="shared" si="83"/>
        <v>Bihar</v>
      </c>
      <c r="AE545" t="str">
        <f t="shared" si="84"/>
        <v>Patna</v>
      </c>
      <c r="AF545" t="str">
        <f t="shared" si="85"/>
        <v>Technology</v>
      </c>
      <c r="AG545" t="str">
        <f t="shared" si="86"/>
        <v>Copiers</v>
      </c>
      <c r="AH545" t="str">
        <f t="shared" si="87"/>
        <v>Max Copiers 440</v>
      </c>
      <c r="AI545" t="str">
        <f t="shared" si="88"/>
        <v>Same Day</v>
      </c>
      <c r="AJ545" s="3" t="str">
        <f t="shared" si="89"/>
        <v>anomaly</v>
      </c>
      <c r="AK545">
        <f t="shared" si="90"/>
        <v>6</v>
      </c>
    </row>
    <row r="546" spans="1:37">
      <c r="A546" t="s">
        <v>2624</v>
      </c>
      <c r="B546" t="s">
        <v>2625</v>
      </c>
      <c r="C546" t="s">
        <v>2058</v>
      </c>
      <c r="D546" t="s">
        <v>2626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2627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  <c r="W546" t="s">
        <v>2624</v>
      </c>
      <c r="X546" t="str">
        <v>29-01-25</v>
      </c>
      <c r="Y546" t="str">
        <v>02-05-25</v>
      </c>
      <c r="Z546" t="s">
        <v>2626</v>
      </c>
      <c r="AA546" t="str">
        <v>Ananya Rao</v>
      </c>
      <c r="AB546" t="str">
        <f t="shared" si="81"/>
        <v>Consumer</v>
      </c>
      <c r="AC546" t="str">
        <f t="shared" si="82"/>
        <v>South</v>
      </c>
      <c r="AD546" t="str">
        <f t="shared" si="83"/>
        <v>Kerala</v>
      </c>
      <c r="AE546" t="str">
        <f t="shared" si="84"/>
        <v>Kochi</v>
      </c>
      <c r="AF546" t="str">
        <f t="shared" si="85"/>
        <v>Office Supplies</v>
      </c>
      <c r="AG546" t="str">
        <f t="shared" si="86"/>
        <v>Art</v>
      </c>
      <c r="AH546" t="str">
        <f t="shared" si="87"/>
        <v>Smart Art 201</v>
      </c>
      <c r="AI546" t="str">
        <f t="shared" si="88"/>
        <v>Same Day</v>
      </c>
      <c r="AJ546" s="3" t="str">
        <f t="shared" si="89"/>
        <v xml:space="preserve">  </v>
      </c>
      <c r="AK546">
        <f t="shared" si="90"/>
        <v>93</v>
      </c>
    </row>
    <row r="547" spans="1:37">
      <c r="A547" t="s">
        <v>2628</v>
      </c>
      <c r="B547" t="s">
        <v>2629</v>
      </c>
      <c r="C547" t="s">
        <v>2630</v>
      </c>
      <c r="D547" t="s">
        <v>2631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2632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  <c r="W547" t="s">
        <v>2628</v>
      </c>
      <c r="X547" t="str">
        <v>invalid date</v>
      </c>
      <c r="Y547" t="str">
        <v>30-05-24</v>
      </c>
      <c r="Z547" t="s">
        <v>2631</v>
      </c>
      <c r="AA547" t="str">
        <v>Kabir Singh</v>
      </c>
      <c r="AB547" t="str">
        <f t="shared" si="81"/>
        <v>Small Business</v>
      </c>
      <c r="AC547" t="str">
        <f t="shared" si="82"/>
        <v>East</v>
      </c>
      <c r="AD547" t="str">
        <f t="shared" si="83"/>
        <v>Jharkhand</v>
      </c>
      <c r="AE547" t="str">
        <f t="shared" si="84"/>
        <v>Ranchi</v>
      </c>
      <c r="AF547" t="str">
        <f t="shared" si="85"/>
        <v>Office Supplies</v>
      </c>
      <c r="AG547" t="str">
        <f t="shared" si="86"/>
        <v>Storage</v>
      </c>
      <c r="AH547" t="str">
        <f t="shared" si="87"/>
        <v>Classic Storage 755</v>
      </c>
      <c r="AI547" t="str">
        <f t="shared" si="88"/>
        <v>Same Day</v>
      </c>
      <c r="AJ547" s="3" t="str">
        <f t="shared" si="89"/>
        <v>Invalid</v>
      </c>
      <c r="AK547" t="str">
        <f t="shared" si="90"/>
        <v>invalid date</v>
      </c>
    </row>
    <row r="548" spans="1:37">
      <c r="A548" t="s">
        <v>2633</v>
      </c>
      <c r="B548" t="s">
        <v>2634</v>
      </c>
      <c r="C548" t="s">
        <v>1489</v>
      </c>
      <c r="D548" t="s">
        <v>2635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2636</v>
      </c>
      <c r="K548" t="s">
        <v>31</v>
      </c>
      <c r="L548" t="s">
        <v>2637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  <c r="W548" t="s">
        <v>2633</v>
      </c>
      <c r="X548" t="str">
        <v>14-08-25</v>
      </c>
      <c r="Y548" t="str">
        <v>22-08-25</v>
      </c>
      <c r="Z548" t="s">
        <v>2635</v>
      </c>
      <c r="AA548" t="str">
        <v>Arjun Bose</v>
      </c>
      <c r="AB548" t="str">
        <f t="shared" si="81"/>
        <v>Corporate</v>
      </c>
      <c r="AC548" t="str">
        <f t="shared" si="82"/>
        <v>West</v>
      </c>
      <c r="AD548" t="str">
        <f t="shared" si="83"/>
        <v>Gujarat</v>
      </c>
      <c r="AE548" t="str">
        <f t="shared" si="84"/>
        <v>Ahmedabad</v>
      </c>
      <c r="AF548" t="str">
        <f t="shared" si="85"/>
        <v>Office Supplies</v>
      </c>
      <c r="AG548" t="str">
        <f t="shared" si="86"/>
        <v>Paper</v>
      </c>
      <c r="AH548" t="str">
        <f t="shared" si="87"/>
        <v>Prime Paper 143</v>
      </c>
      <c r="AI548" t="str">
        <f t="shared" si="88"/>
        <v>First Class</v>
      </c>
      <c r="AJ548" s="3" t="str">
        <f t="shared" si="89"/>
        <v>anomaly</v>
      </c>
      <c r="AK548">
        <f t="shared" si="90"/>
        <v>8</v>
      </c>
    </row>
    <row r="549" spans="1:37">
      <c r="A549" t="s">
        <v>2638</v>
      </c>
      <c r="B549" t="s">
        <v>2639</v>
      </c>
      <c r="C549" t="s">
        <v>2640</v>
      </c>
      <c r="D549" t="s">
        <v>2641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2642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  <c r="W549" t="s">
        <v>2638</v>
      </c>
      <c r="X549" t="str">
        <v>16-05-24</v>
      </c>
      <c r="Y549" t="str">
        <v>23-05-24</v>
      </c>
      <c r="Z549" t="s">
        <v>2641</v>
      </c>
      <c r="AA549" t="str">
        <v>Neha Gupta</v>
      </c>
      <c r="AB549" t="str">
        <f t="shared" si="81"/>
        <v>Small Business</v>
      </c>
      <c r="AC549" t="str">
        <f t="shared" si="82"/>
        <v>North</v>
      </c>
      <c r="AD549" t="str">
        <f t="shared" si="83"/>
        <v>Uttar Pradesh</v>
      </c>
      <c r="AE549" t="str">
        <f t="shared" si="84"/>
        <v>Noida</v>
      </c>
      <c r="AF549" t="str">
        <f t="shared" si="85"/>
        <v>Technology</v>
      </c>
      <c r="AG549" t="str">
        <f t="shared" si="86"/>
        <v>Copiers</v>
      </c>
      <c r="AH549" t="str">
        <f t="shared" si="87"/>
        <v>Max Copiers 607</v>
      </c>
      <c r="AI549" t="str">
        <f t="shared" si="88"/>
        <v>Standard Class</v>
      </c>
      <c r="AJ549" s="3" t="str">
        <f t="shared" si="89"/>
        <v>anomaly</v>
      </c>
      <c r="AK549">
        <f t="shared" si="90"/>
        <v>7</v>
      </c>
    </row>
    <row r="550" spans="1:37">
      <c r="A550" t="s">
        <v>2643</v>
      </c>
      <c r="B550" t="s">
        <v>274</v>
      </c>
      <c r="C550" t="s">
        <v>273</v>
      </c>
      <c r="D550" t="s">
        <v>2644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2645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  <c r="W550" t="s">
        <v>2643</v>
      </c>
      <c r="X550" t="str">
        <v>29-05-24</v>
      </c>
      <c r="Y550" t="str">
        <v>29-05-24</v>
      </c>
      <c r="Z550" t="s">
        <v>2644</v>
      </c>
      <c r="AA550" t="str">
        <v>Rohan Mehta</v>
      </c>
      <c r="AB550" t="str">
        <f t="shared" si="81"/>
        <v>Corporate</v>
      </c>
      <c r="AC550" t="str">
        <f t="shared" si="82"/>
        <v>East</v>
      </c>
      <c r="AD550" t="str">
        <f t="shared" si="83"/>
        <v>Bihar</v>
      </c>
      <c r="AE550" t="str">
        <f t="shared" si="84"/>
        <v>Patna</v>
      </c>
      <c r="AF550" t="str">
        <f t="shared" si="85"/>
        <v>Furniture</v>
      </c>
      <c r="AG550" t="str">
        <f t="shared" si="86"/>
        <v>Bookcases</v>
      </c>
      <c r="AH550" t="str">
        <f t="shared" si="87"/>
        <v>Prime Bookcases 402</v>
      </c>
      <c r="AI550" t="str">
        <f t="shared" si="88"/>
        <v>Same Day</v>
      </c>
      <c r="AJ550" s="3" t="str">
        <f t="shared" si="89"/>
        <v xml:space="preserve">  </v>
      </c>
      <c r="AK550">
        <f t="shared" si="90"/>
        <v>0</v>
      </c>
    </row>
    <row r="551" spans="1:37">
      <c r="A551" t="s">
        <v>2646</v>
      </c>
      <c r="B551" t="s">
        <v>2647</v>
      </c>
      <c r="C551" t="s">
        <v>2648</v>
      </c>
      <c r="D551" t="s">
        <v>2649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2650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  <c r="W551" t="s">
        <v>2646</v>
      </c>
      <c r="X551" t="str">
        <v>10-11-25</v>
      </c>
      <c r="Y551" t="str">
        <v>13-10-25</v>
      </c>
      <c r="Z551" t="s">
        <v>2649</v>
      </c>
      <c r="AA551" t="str">
        <v>Mira Das</v>
      </c>
      <c r="AB551" t="str">
        <f t="shared" si="81"/>
        <v>Corporate</v>
      </c>
      <c r="AC551" t="str">
        <f t="shared" si="82"/>
        <v>South</v>
      </c>
      <c r="AD551" t="str">
        <f t="shared" si="83"/>
        <v>Telangana</v>
      </c>
      <c r="AE551" t="str">
        <f t="shared" si="84"/>
        <v>Hyderabad</v>
      </c>
      <c r="AF551" t="str">
        <f t="shared" si="85"/>
        <v>Office Supplies</v>
      </c>
      <c r="AG551" t="str">
        <f t="shared" si="86"/>
        <v>Art</v>
      </c>
      <c r="AH551" t="str">
        <f t="shared" si="87"/>
        <v>Pro Art 287</v>
      </c>
      <c r="AI551" t="str">
        <f t="shared" si="88"/>
        <v>Second Class</v>
      </c>
      <c r="AJ551" s="3" t="str">
        <f t="shared" si="89"/>
        <v>anomaly</v>
      </c>
      <c r="AK551">
        <f t="shared" si="90"/>
        <v>-28</v>
      </c>
    </row>
    <row r="552" spans="1:37">
      <c r="A552" t="s">
        <v>2651</v>
      </c>
      <c r="B552" t="s">
        <v>538</v>
      </c>
      <c r="C552" t="s">
        <v>2652</v>
      </c>
      <c r="D552" t="s">
        <v>2653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2654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  <c r="W552" t="s">
        <v>2651</v>
      </c>
      <c r="X552" t="str">
        <v>02-08-24</v>
      </c>
      <c r="Y552" t="str">
        <v>08-10-24</v>
      </c>
      <c r="Z552" t="s">
        <v>2653</v>
      </c>
      <c r="AA552" t="str">
        <v>Mira Das</v>
      </c>
      <c r="AB552" t="str">
        <f t="shared" si="81"/>
        <v>Home Office</v>
      </c>
      <c r="AC552" t="str">
        <f t="shared" si="82"/>
        <v>East</v>
      </c>
      <c r="AD552" t="str">
        <f t="shared" si="83"/>
        <v>Odisha</v>
      </c>
      <c r="AE552" t="str">
        <f t="shared" si="84"/>
        <v>Bhubaneswar</v>
      </c>
      <c r="AF552" t="str">
        <f t="shared" si="85"/>
        <v>Technology</v>
      </c>
      <c r="AG552" t="str">
        <f t="shared" si="86"/>
        <v>Accessories</v>
      </c>
      <c r="AH552" t="str">
        <f t="shared" si="87"/>
        <v>Max Accessories 591</v>
      </c>
      <c r="AI552" t="str">
        <f t="shared" si="88"/>
        <v>Standard Class</v>
      </c>
      <c r="AJ552" s="3" t="str">
        <f t="shared" si="89"/>
        <v>anomaly</v>
      </c>
      <c r="AK552">
        <f t="shared" si="90"/>
        <v>67</v>
      </c>
    </row>
    <row r="553" spans="1:37">
      <c r="A553" t="s">
        <v>2655</v>
      </c>
      <c r="B553" t="s">
        <v>2087</v>
      </c>
      <c r="C553" t="s">
        <v>2656</v>
      </c>
      <c r="D553" t="s">
        <v>2657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2658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  <c r="W553" t="s">
        <v>2655</v>
      </c>
      <c r="X553" t="str">
        <v>27-02-24</v>
      </c>
      <c r="Y553" t="str">
        <v>27-02-24</v>
      </c>
      <c r="Z553" t="s">
        <v>2657</v>
      </c>
      <c r="AA553" t="str">
        <v>Sneha Kapoor</v>
      </c>
      <c r="AB553" t="str">
        <f t="shared" si="81"/>
        <v>Consumer</v>
      </c>
      <c r="AC553" t="str">
        <f t="shared" si="82"/>
        <v>East</v>
      </c>
      <c r="AD553" t="str">
        <f t="shared" si="83"/>
        <v>Jharkhand</v>
      </c>
      <c r="AE553" t="str">
        <f t="shared" si="84"/>
        <v>Ranchi</v>
      </c>
      <c r="AF553" t="str">
        <f t="shared" si="85"/>
        <v>Furniture</v>
      </c>
      <c r="AG553" t="str">
        <f t="shared" si="86"/>
        <v>Chairs</v>
      </c>
      <c r="AH553" t="str">
        <f t="shared" si="87"/>
        <v>Elite Chairs 314</v>
      </c>
      <c r="AI553" t="str">
        <f t="shared" si="88"/>
        <v>Second Class</v>
      </c>
      <c r="AJ553" s="3" t="str">
        <f t="shared" si="89"/>
        <v xml:space="preserve">  </v>
      </c>
      <c r="AK553">
        <f t="shared" si="90"/>
        <v>0</v>
      </c>
    </row>
    <row r="554" spans="1:37">
      <c r="A554" t="s">
        <v>2659</v>
      </c>
      <c r="B554" t="s">
        <v>190</v>
      </c>
      <c r="C554" t="s">
        <v>343</v>
      </c>
      <c r="D554" t="s">
        <v>2660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2661</v>
      </c>
      <c r="M554" t="s">
        <v>67</v>
      </c>
      <c r="N554">
        <v>8</v>
      </c>
      <c r="O554">
        <v>312.52999999999997</v>
      </c>
      <c r="P554" s="6" t="s">
        <v>4117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  <c r="W554" t="s">
        <v>2659</v>
      </c>
      <c r="X554" t="str">
        <v>24-01-25</v>
      </c>
      <c r="Y554" t="str">
        <v>30-01-25</v>
      </c>
      <c r="Z554" t="s">
        <v>2660</v>
      </c>
      <c r="AA554" t="str">
        <v>Ananya Rao</v>
      </c>
      <c r="AB554" t="str">
        <f t="shared" si="81"/>
        <v>Corporate</v>
      </c>
      <c r="AC554" t="str">
        <f t="shared" si="82"/>
        <v>East</v>
      </c>
      <c r="AD554" t="str">
        <f t="shared" si="83"/>
        <v>West Bengal</v>
      </c>
      <c r="AE554" t="str">
        <f t="shared" si="84"/>
        <v>Kolkata</v>
      </c>
      <c r="AF554" t="str">
        <f t="shared" si="85"/>
        <v>Technology</v>
      </c>
      <c r="AG554" t="str">
        <f t="shared" si="86"/>
        <v>Copiers</v>
      </c>
      <c r="AH554" t="str">
        <f t="shared" si="87"/>
        <v>Pro Copiers 246</v>
      </c>
      <c r="AI554" t="str">
        <f t="shared" si="88"/>
        <v>Standard Class</v>
      </c>
      <c r="AJ554" s="3" t="str">
        <f t="shared" si="89"/>
        <v>anomaly</v>
      </c>
      <c r="AK554">
        <f t="shared" si="90"/>
        <v>6</v>
      </c>
    </row>
    <row r="555" spans="1:37">
      <c r="A555" t="s">
        <v>2662</v>
      </c>
      <c r="B555" t="s">
        <v>2663</v>
      </c>
      <c r="C555" t="s">
        <v>2664</v>
      </c>
      <c r="D555" t="s">
        <v>2665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2666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  <c r="W555" t="s">
        <v>2662</v>
      </c>
      <c r="X555" t="str">
        <v>invalid date</v>
      </c>
      <c r="Y555" t="str">
        <v>28-04-25</v>
      </c>
      <c r="Z555" t="s">
        <v>2665</v>
      </c>
      <c r="AA555" t="str">
        <v>Aarav Sharma</v>
      </c>
      <c r="AB555" t="str">
        <f t="shared" si="81"/>
        <v>Small Business</v>
      </c>
      <c r="AC555" t="str">
        <f t="shared" si="82"/>
        <v>West</v>
      </c>
      <c r="AD555" t="str">
        <f t="shared" si="83"/>
        <v>Gujarat</v>
      </c>
      <c r="AE555" t="str">
        <f t="shared" si="84"/>
        <v>Ahmedabad</v>
      </c>
      <c r="AF555" t="str">
        <f t="shared" si="85"/>
        <v>Office Supplies</v>
      </c>
      <c r="AG555" t="str">
        <f t="shared" si="86"/>
        <v>Storage</v>
      </c>
      <c r="AH555" t="str">
        <f t="shared" si="87"/>
        <v>Pro Storage 128</v>
      </c>
      <c r="AI555" t="str">
        <f t="shared" si="88"/>
        <v>First Class</v>
      </c>
      <c r="AJ555" s="3" t="str">
        <f t="shared" si="89"/>
        <v>Invalid</v>
      </c>
      <c r="AK555" t="str">
        <f t="shared" si="90"/>
        <v>invalid date</v>
      </c>
    </row>
    <row r="556" spans="1:37">
      <c r="A556" t="s">
        <v>2667</v>
      </c>
      <c r="B556" t="s">
        <v>2668</v>
      </c>
      <c r="C556" t="s">
        <v>2669</v>
      </c>
      <c r="D556" t="s">
        <v>2670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2671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  <c r="W556" t="s">
        <v>2667</v>
      </c>
      <c r="X556" t="str">
        <v>12-10-24</v>
      </c>
      <c r="Y556" t="str">
        <v>17-10-24</v>
      </c>
      <c r="Z556" t="s">
        <v>2670</v>
      </c>
      <c r="AA556" t="str">
        <v>Arjun Bose</v>
      </c>
      <c r="AB556" t="str">
        <f t="shared" si="81"/>
        <v>Consumer</v>
      </c>
      <c r="AC556" s="5" t="s">
        <v>4116</v>
      </c>
      <c r="AD556" t="str">
        <f t="shared" si="83"/>
        <v>Jharkhand</v>
      </c>
      <c r="AE556" t="str">
        <f t="shared" si="84"/>
        <v>Ranchi</v>
      </c>
      <c r="AF556" t="str">
        <f t="shared" si="85"/>
        <v>Furniture</v>
      </c>
      <c r="AG556" t="str">
        <f t="shared" si="86"/>
        <v>Furnishings</v>
      </c>
      <c r="AH556" t="str">
        <f t="shared" si="87"/>
        <v>Prime Furnishings 892</v>
      </c>
      <c r="AI556" t="str">
        <f t="shared" si="88"/>
        <v>Standard Class</v>
      </c>
      <c r="AJ556" s="3" t="str">
        <f t="shared" si="89"/>
        <v>anomaly</v>
      </c>
      <c r="AK556">
        <f t="shared" si="90"/>
        <v>5</v>
      </c>
    </row>
    <row r="557" spans="1:37">
      <c r="A557" t="s">
        <v>2672</v>
      </c>
      <c r="B557" t="s">
        <v>881</v>
      </c>
      <c r="C557" t="s">
        <v>2673</v>
      </c>
      <c r="D557" t="s">
        <v>2674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2675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  <c r="W557" t="s">
        <v>2672</v>
      </c>
      <c r="X557" t="str">
        <v>04-02-25</v>
      </c>
      <c r="Y557" t="str">
        <v>10-02-25</v>
      </c>
      <c r="Z557" t="s">
        <v>2674</v>
      </c>
      <c r="AA557" t="str">
        <v>Ananya Rao</v>
      </c>
      <c r="AB557" t="str">
        <f t="shared" si="81"/>
        <v>Small Business</v>
      </c>
      <c r="AC557" t="str">
        <f t="shared" si="82"/>
        <v>South</v>
      </c>
      <c r="AD557" t="str">
        <f t="shared" si="83"/>
        <v>Telangana</v>
      </c>
      <c r="AE557" t="str">
        <f t="shared" si="84"/>
        <v>Hyderabad</v>
      </c>
      <c r="AF557" t="str">
        <f t="shared" si="85"/>
        <v>Office Supplies</v>
      </c>
      <c r="AG557" t="str">
        <f t="shared" si="86"/>
        <v>Storage</v>
      </c>
      <c r="AH557" t="str">
        <f t="shared" si="87"/>
        <v>Prime Storage 689</v>
      </c>
      <c r="AI557" t="str">
        <f t="shared" si="88"/>
        <v>Standard Class</v>
      </c>
      <c r="AJ557" s="3" t="str">
        <f t="shared" si="89"/>
        <v>anomaly</v>
      </c>
      <c r="AK557">
        <f t="shared" si="90"/>
        <v>6</v>
      </c>
    </row>
    <row r="558" spans="1:37">
      <c r="A558" t="s">
        <v>2676</v>
      </c>
      <c r="B558" t="s">
        <v>1551</v>
      </c>
      <c r="C558" t="s">
        <v>2093</v>
      </c>
      <c r="D558" t="s">
        <v>2677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2678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  <c r="W558" t="s">
        <v>2676</v>
      </c>
      <c r="X558" t="str">
        <v>23-06-24</v>
      </c>
      <c r="Y558" t="str">
        <v>29-06-24</v>
      </c>
      <c r="Z558" t="s">
        <v>2677</v>
      </c>
      <c r="AA558" t="str">
        <v>Neha Gupta</v>
      </c>
      <c r="AB558" t="str">
        <f t="shared" si="81"/>
        <v>Consumer</v>
      </c>
      <c r="AC558" t="str">
        <f t="shared" si="82"/>
        <v>North</v>
      </c>
      <c r="AD558" t="str">
        <f t="shared" si="83"/>
        <v>Haryana</v>
      </c>
      <c r="AE558" t="str">
        <f t="shared" si="84"/>
        <v>Gurugram</v>
      </c>
      <c r="AF558" t="str">
        <f t="shared" si="85"/>
        <v>Furniture</v>
      </c>
      <c r="AG558" t="str">
        <f t="shared" si="86"/>
        <v>Tables</v>
      </c>
      <c r="AH558" t="str">
        <f t="shared" si="87"/>
        <v>Classic Tables 769</v>
      </c>
      <c r="AI558" t="str">
        <f t="shared" si="88"/>
        <v>First Class</v>
      </c>
      <c r="AJ558" s="3" t="str">
        <f t="shared" si="89"/>
        <v>anomaly</v>
      </c>
      <c r="AK558">
        <f t="shared" si="90"/>
        <v>6</v>
      </c>
    </row>
    <row r="559" spans="1:37">
      <c r="A559" t="s">
        <v>2679</v>
      </c>
      <c r="B559" t="s">
        <v>2680</v>
      </c>
      <c r="C559" t="s">
        <v>2681</v>
      </c>
      <c r="D559" t="s">
        <v>2682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2683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  <c r="W559" t="s">
        <v>2679</v>
      </c>
      <c r="X559" t="str">
        <v>08-05-24</v>
      </c>
      <c r="Y559" t="str">
        <v>14-05-24</v>
      </c>
      <c r="Z559" t="s">
        <v>2682</v>
      </c>
      <c r="AA559" t="str">
        <v>Vikram Iyer</v>
      </c>
      <c r="AB559" t="str">
        <f t="shared" si="81"/>
        <v>Home Office</v>
      </c>
      <c r="AC559" t="str">
        <f t="shared" si="82"/>
        <v>North</v>
      </c>
      <c r="AD559" t="str">
        <f t="shared" si="83"/>
        <v>Haryana</v>
      </c>
      <c r="AE559" t="str">
        <f t="shared" si="84"/>
        <v>Gurugram</v>
      </c>
      <c r="AF559" t="str">
        <f t="shared" si="85"/>
        <v>Technology</v>
      </c>
      <c r="AG559" t="str">
        <f t="shared" si="86"/>
        <v>Phones</v>
      </c>
      <c r="AH559" t="str">
        <f t="shared" si="87"/>
        <v>Prime Phones 503</v>
      </c>
      <c r="AI559" t="str">
        <f t="shared" si="88"/>
        <v>First Class</v>
      </c>
      <c r="AJ559" s="3" t="str">
        <f t="shared" si="89"/>
        <v>anomaly</v>
      </c>
      <c r="AK559">
        <f t="shared" si="90"/>
        <v>6</v>
      </c>
    </row>
    <row r="560" spans="1:37">
      <c r="A560" t="s">
        <v>2684</v>
      </c>
      <c r="B560" t="s">
        <v>2685</v>
      </c>
      <c r="C560" t="s">
        <v>2686</v>
      </c>
      <c r="D560" t="s">
        <v>2687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2688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  <c r="W560" t="s">
        <v>2684</v>
      </c>
      <c r="X560" t="str">
        <v>04-09-25</v>
      </c>
      <c r="Y560" t="str">
        <v>09-04-25</v>
      </c>
      <c r="Z560" t="s">
        <v>2687</v>
      </c>
      <c r="AA560" t="str">
        <v>Aditi Sen</v>
      </c>
      <c r="AB560" t="str">
        <f t="shared" si="81"/>
        <v>Corporate</v>
      </c>
      <c r="AC560" t="str">
        <f t="shared" si="82"/>
        <v>North</v>
      </c>
      <c r="AD560" t="str">
        <f t="shared" si="83"/>
        <v>Punjab</v>
      </c>
      <c r="AE560" t="str">
        <f t="shared" si="84"/>
        <v>Ludhiana</v>
      </c>
      <c r="AF560" t="str">
        <f t="shared" si="85"/>
        <v>Technology</v>
      </c>
      <c r="AG560" t="str">
        <f t="shared" si="86"/>
        <v>Machines</v>
      </c>
      <c r="AH560" t="str">
        <f t="shared" si="87"/>
        <v>Basic Machines 136</v>
      </c>
      <c r="AI560" t="str">
        <f t="shared" si="88"/>
        <v>First Class</v>
      </c>
      <c r="AJ560" s="3" t="str">
        <f t="shared" si="89"/>
        <v>anomaly</v>
      </c>
      <c r="AK560">
        <f t="shared" si="90"/>
        <v>-148</v>
      </c>
    </row>
    <row r="561" spans="1:37">
      <c r="A561" t="s">
        <v>2689</v>
      </c>
      <c r="B561" t="s">
        <v>2255</v>
      </c>
      <c r="C561" t="s">
        <v>2690</v>
      </c>
      <c r="D561" t="s">
        <v>2691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2692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  <c r="W561" t="s">
        <v>2689</v>
      </c>
      <c r="X561" t="str">
        <v>30-09-25</v>
      </c>
      <c r="Y561" t="str">
        <v>07-10-25</v>
      </c>
      <c r="Z561" t="s">
        <v>2691</v>
      </c>
      <c r="AA561" t="str">
        <v>Diya Patel</v>
      </c>
      <c r="AB561" t="str">
        <f t="shared" si="81"/>
        <v>Corporate</v>
      </c>
      <c r="AC561" t="str">
        <f t="shared" si="82"/>
        <v>East</v>
      </c>
      <c r="AD561" t="str">
        <f t="shared" si="83"/>
        <v>Bihar</v>
      </c>
      <c r="AE561" t="str">
        <f t="shared" si="84"/>
        <v>Patna</v>
      </c>
      <c r="AF561" t="str">
        <f t="shared" si="85"/>
        <v>Technology</v>
      </c>
      <c r="AG561" t="str">
        <f t="shared" si="86"/>
        <v>Copiers</v>
      </c>
      <c r="AH561" t="str">
        <f t="shared" si="87"/>
        <v>Basic Copiers 512</v>
      </c>
      <c r="AI561" t="str">
        <f t="shared" si="88"/>
        <v>Second Class</v>
      </c>
      <c r="AJ561" s="3" t="str">
        <f t="shared" si="89"/>
        <v xml:space="preserve">  </v>
      </c>
      <c r="AK561">
        <f t="shared" si="90"/>
        <v>7</v>
      </c>
    </row>
    <row r="562" spans="1:37">
      <c r="A562" t="s">
        <v>2693</v>
      </c>
      <c r="B562" t="s">
        <v>2694</v>
      </c>
      <c r="C562" t="s">
        <v>1057</v>
      </c>
      <c r="D562" t="s">
        <v>2695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2696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  <c r="W562" t="s">
        <v>2693</v>
      </c>
      <c r="X562" t="str">
        <v>16-01-24</v>
      </c>
      <c r="Y562" t="str">
        <v>22-01-24</v>
      </c>
      <c r="Z562" t="s">
        <v>2695</v>
      </c>
      <c r="AA562" t="str">
        <v>Arjun Bose</v>
      </c>
      <c r="AB562" t="str">
        <f t="shared" si="81"/>
        <v>Consumer</v>
      </c>
      <c r="AC562" t="str">
        <f t="shared" si="82"/>
        <v>West</v>
      </c>
      <c r="AD562" t="str">
        <f t="shared" si="83"/>
        <v>Goa</v>
      </c>
      <c r="AE562" t="str">
        <f t="shared" si="84"/>
        <v>Panaji</v>
      </c>
      <c r="AF562" t="str">
        <f t="shared" si="85"/>
        <v>Office Supplies</v>
      </c>
      <c r="AG562" t="str">
        <f t="shared" si="86"/>
        <v>Storage</v>
      </c>
      <c r="AH562" t="str">
        <f t="shared" si="87"/>
        <v>Smart Storage 767</v>
      </c>
      <c r="AI562" t="str">
        <f t="shared" si="88"/>
        <v>Standard Class</v>
      </c>
      <c r="AJ562" s="3" t="str">
        <f t="shared" si="89"/>
        <v>anomaly</v>
      </c>
      <c r="AK562">
        <f t="shared" si="90"/>
        <v>6</v>
      </c>
    </row>
    <row r="563" spans="1:37">
      <c r="A563" t="s">
        <v>2697</v>
      </c>
      <c r="B563" t="s">
        <v>761</v>
      </c>
      <c r="C563" t="s">
        <v>2698</v>
      </c>
      <c r="D563" t="s">
        <v>2699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2700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  <c r="W563" t="s">
        <v>2697</v>
      </c>
      <c r="X563" t="str">
        <v>14-07-25</v>
      </c>
      <c r="Y563" t="str">
        <v>18-07-25</v>
      </c>
      <c r="Z563" t="s">
        <v>2699</v>
      </c>
      <c r="AA563" t="str">
        <v>Aditi Sen</v>
      </c>
      <c r="AB563" t="str">
        <f t="shared" si="81"/>
        <v>Consumer</v>
      </c>
      <c r="AC563" t="str">
        <f t="shared" si="82"/>
        <v>North</v>
      </c>
      <c r="AD563" t="str">
        <f t="shared" si="83"/>
        <v>Punjab</v>
      </c>
      <c r="AE563" t="str">
        <f t="shared" si="84"/>
        <v>Ludhiana</v>
      </c>
      <c r="AF563" t="str">
        <f t="shared" si="85"/>
        <v>Technology</v>
      </c>
      <c r="AG563" t="str">
        <f t="shared" si="86"/>
        <v>Copiers</v>
      </c>
      <c r="AH563" t="str">
        <f t="shared" si="87"/>
        <v>Eco Copiers 954</v>
      </c>
      <c r="AI563" t="str">
        <f t="shared" si="88"/>
        <v>First Class</v>
      </c>
      <c r="AJ563" s="3" t="str">
        <f t="shared" si="89"/>
        <v>anomaly</v>
      </c>
      <c r="AK563">
        <f t="shared" si="90"/>
        <v>4</v>
      </c>
    </row>
    <row r="564" spans="1:37">
      <c r="A564" t="s">
        <v>2701</v>
      </c>
      <c r="B564" t="s">
        <v>2702</v>
      </c>
      <c r="C564" t="s">
        <v>2639</v>
      </c>
      <c r="D564" t="s">
        <v>2703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2704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  <c r="W564" t="s">
        <v>2701</v>
      </c>
      <c r="X564" t="str">
        <v>10-05-24</v>
      </c>
      <c r="Y564" t="str">
        <v>16-05-24</v>
      </c>
      <c r="Z564" t="s">
        <v>2703</v>
      </c>
      <c r="AA564" t="str">
        <v>Karan Malhotra</v>
      </c>
      <c r="AB564" t="str">
        <f t="shared" si="81"/>
        <v>Consumer</v>
      </c>
      <c r="AC564" t="str">
        <f t="shared" si="82"/>
        <v>North</v>
      </c>
      <c r="AD564" t="str">
        <f t="shared" si="83"/>
        <v>Punjab</v>
      </c>
      <c r="AE564" t="str">
        <f t="shared" si="84"/>
        <v>Ludhiana</v>
      </c>
      <c r="AF564" t="str">
        <f t="shared" si="85"/>
        <v>Office Supplies</v>
      </c>
      <c r="AG564" t="str">
        <f t="shared" si="86"/>
        <v>Binders</v>
      </c>
      <c r="AH564" t="str">
        <f t="shared" si="87"/>
        <v>Elite Binders 143</v>
      </c>
      <c r="AI564" t="str">
        <f t="shared" si="88"/>
        <v>Same Day</v>
      </c>
      <c r="AJ564" s="3" t="str">
        <f t="shared" si="89"/>
        <v>anomaly</v>
      </c>
      <c r="AK564">
        <f t="shared" si="90"/>
        <v>6</v>
      </c>
    </row>
    <row r="565" spans="1:37">
      <c r="A565" t="s">
        <v>2705</v>
      </c>
      <c r="B565" t="s">
        <v>2706</v>
      </c>
      <c r="C565" t="s">
        <v>1782</v>
      </c>
      <c r="D565" t="s">
        <v>2707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2708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  <c r="W565" t="s">
        <v>2705</v>
      </c>
      <c r="X565" t="str">
        <v>05-06-24</v>
      </c>
      <c r="Y565" t="str">
        <v>12-05-24</v>
      </c>
      <c r="Z565" t="s">
        <v>2707</v>
      </c>
      <c r="AA565" t="str">
        <v>Arjun Bose</v>
      </c>
      <c r="AB565" t="str">
        <f t="shared" si="81"/>
        <v>Corporate</v>
      </c>
      <c r="AC565" t="str">
        <f t="shared" si="82"/>
        <v>West</v>
      </c>
      <c r="AD565" t="str">
        <f t="shared" si="83"/>
        <v>Goa</v>
      </c>
      <c r="AE565" t="str">
        <f t="shared" si="84"/>
        <v>Panaji</v>
      </c>
      <c r="AF565" t="str">
        <f t="shared" si="85"/>
        <v>Furniture</v>
      </c>
      <c r="AG565" t="str">
        <f t="shared" si="86"/>
        <v>Tables</v>
      </c>
      <c r="AH565" t="str">
        <f t="shared" si="87"/>
        <v>Classic Tables 560</v>
      </c>
      <c r="AI565" t="str">
        <f t="shared" si="88"/>
        <v>Standard Class</v>
      </c>
      <c r="AJ565" s="3" t="str">
        <f t="shared" si="89"/>
        <v>anomaly</v>
      </c>
      <c r="AK565">
        <f t="shared" si="90"/>
        <v>-24</v>
      </c>
    </row>
    <row r="566" spans="1:37">
      <c r="A566" t="s">
        <v>2709</v>
      </c>
      <c r="B566" t="s">
        <v>105</v>
      </c>
      <c r="C566" t="s">
        <v>2710</v>
      </c>
      <c r="D566" t="s">
        <v>2711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2712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  <c r="W566" t="s">
        <v>2709</v>
      </c>
      <c r="X566" t="str">
        <v>11-10-24</v>
      </c>
      <c r="Y566" t="str">
        <v>14-11-24</v>
      </c>
      <c r="Z566" t="s">
        <v>2711</v>
      </c>
      <c r="AA566" t="str">
        <v>Sneha Kapoor</v>
      </c>
      <c r="AB566" t="str">
        <f t="shared" si="81"/>
        <v>Corporate</v>
      </c>
      <c r="AC566" t="str">
        <f t="shared" si="82"/>
        <v>South</v>
      </c>
      <c r="AD566" t="str">
        <f t="shared" si="83"/>
        <v>Andhra Pradesh</v>
      </c>
      <c r="AE566" t="str">
        <f t="shared" si="84"/>
        <v>Vijayawada</v>
      </c>
      <c r="AF566" t="str">
        <f t="shared" si="85"/>
        <v>Furniture</v>
      </c>
      <c r="AG566" t="str">
        <f t="shared" si="86"/>
        <v>Tables</v>
      </c>
      <c r="AH566" t="str">
        <f t="shared" si="87"/>
        <v>Basic Tables 759</v>
      </c>
      <c r="AI566" t="str">
        <f t="shared" si="88"/>
        <v>First Class</v>
      </c>
      <c r="AJ566" s="3" t="str">
        <f t="shared" si="89"/>
        <v>anomaly</v>
      </c>
      <c r="AK566">
        <f t="shared" si="90"/>
        <v>34</v>
      </c>
    </row>
    <row r="567" spans="1:37">
      <c r="A567" t="s">
        <v>2713</v>
      </c>
      <c r="B567" t="s">
        <v>2714</v>
      </c>
      <c r="C567" t="s">
        <v>240</v>
      </c>
      <c r="D567" t="s">
        <v>2715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2716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  <c r="W567" t="s">
        <v>2713</v>
      </c>
      <c r="X567" t="str">
        <v>07-08-25</v>
      </c>
      <c r="Y567" t="str">
        <v>13-08-25</v>
      </c>
      <c r="Z567" t="s">
        <v>2715</v>
      </c>
      <c r="AA567" t="str">
        <v>Mira Das</v>
      </c>
      <c r="AB567" t="str">
        <f t="shared" si="81"/>
        <v>Corporate</v>
      </c>
      <c r="AC567" t="str">
        <f t="shared" si="82"/>
        <v>North</v>
      </c>
      <c r="AD567" t="str">
        <f t="shared" si="83"/>
        <v>Delhi</v>
      </c>
      <c r="AE567" t="str">
        <f t="shared" si="84"/>
        <v>New Delhi</v>
      </c>
      <c r="AF567" t="str">
        <f t="shared" si="85"/>
        <v>Technology</v>
      </c>
      <c r="AG567" t="str">
        <f t="shared" si="86"/>
        <v>Phones</v>
      </c>
      <c r="AH567" t="str">
        <f t="shared" si="87"/>
        <v>Prime Phones 564</v>
      </c>
      <c r="AI567" t="str">
        <f t="shared" si="88"/>
        <v>Standard Class</v>
      </c>
      <c r="AJ567" s="3" t="str">
        <f t="shared" si="89"/>
        <v>anomaly</v>
      </c>
      <c r="AK567">
        <f t="shared" si="90"/>
        <v>6</v>
      </c>
    </row>
    <row r="568" spans="1:37">
      <c r="A568" t="s">
        <v>2717</v>
      </c>
      <c r="B568" t="s">
        <v>2436</v>
      </c>
      <c r="C568" t="s">
        <v>2718</v>
      </c>
      <c r="D568" t="s">
        <v>2719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2720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  <c r="W568" t="s">
        <v>2717</v>
      </c>
      <c r="X568" t="str">
        <v>11-08-24</v>
      </c>
      <c r="Y568" t="str">
        <v>19-08-24</v>
      </c>
      <c r="Z568" t="s">
        <v>2719</v>
      </c>
      <c r="AA568" t="str">
        <v>Sneha Kapoor</v>
      </c>
      <c r="AB568" t="str">
        <f t="shared" si="81"/>
        <v>Small Business</v>
      </c>
      <c r="AC568" t="str">
        <f t="shared" si="82"/>
        <v>West</v>
      </c>
      <c r="AD568" t="str">
        <f t="shared" si="83"/>
        <v>Maharashtra</v>
      </c>
      <c r="AE568" t="str">
        <f t="shared" si="84"/>
        <v>Mumbai</v>
      </c>
      <c r="AF568" t="str">
        <f t="shared" si="85"/>
        <v>Office Supplies</v>
      </c>
      <c r="AG568" t="str">
        <f t="shared" si="86"/>
        <v>Paper</v>
      </c>
      <c r="AH568" t="str">
        <f t="shared" si="87"/>
        <v>Smart Paper 807</v>
      </c>
      <c r="AI568" t="str">
        <f t="shared" si="88"/>
        <v>Same Day</v>
      </c>
      <c r="AJ568" s="3" t="str">
        <f t="shared" si="89"/>
        <v>anomaly</v>
      </c>
      <c r="AK568">
        <f t="shared" si="90"/>
        <v>8</v>
      </c>
    </row>
    <row r="569" spans="1:37">
      <c r="A569" t="s">
        <v>2721</v>
      </c>
      <c r="B569" t="s">
        <v>2722</v>
      </c>
      <c r="C569" t="s">
        <v>2723</v>
      </c>
      <c r="D569" t="s">
        <v>2724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899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  <c r="W569" t="s">
        <v>2721</v>
      </c>
      <c r="X569" t="str">
        <v>06-02-24</v>
      </c>
      <c r="Y569" t="str">
        <v>10-02-24</v>
      </c>
      <c r="Z569" t="s">
        <v>2724</v>
      </c>
      <c r="AA569" t="str">
        <v>Arjun Bose</v>
      </c>
      <c r="AB569" t="str">
        <f t="shared" si="81"/>
        <v>Home Office</v>
      </c>
      <c r="AC569" t="str">
        <f t="shared" si="82"/>
        <v>North</v>
      </c>
      <c r="AD569" t="str">
        <f t="shared" si="83"/>
        <v>Uttar Pradesh</v>
      </c>
      <c r="AE569" t="str">
        <f t="shared" si="84"/>
        <v>Noida</v>
      </c>
      <c r="AF569" t="str">
        <f t="shared" si="85"/>
        <v>Furniture</v>
      </c>
      <c r="AG569" t="str">
        <f t="shared" si="86"/>
        <v>Furnishings</v>
      </c>
      <c r="AH569" t="str">
        <f t="shared" si="87"/>
        <v>Pro Furnishings 108</v>
      </c>
      <c r="AI569" t="str">
        <f t="shared" si="88"/>
        <v>Same Day</v>
      </c>
      <c r="AJ569" s="3" t="str">
        <f t="shared" si="89"/>
        <v>anomaly</v>
      </c>
      <c r="AK569">
        <f t="shared" si="90"/>
        <v>4</v>
      </c>
    </row>
    <row r="570" spans="1:37">
      <c r="A570" t="s">
        <v>2725</v>
      </c>
      <c r="B570" t="s">
        <v>1717</v>
      </c>
      <c r="C570" t="s">
        <v>2726</v>
      </c>
      <c r="D570" t="s">
        <v>2727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2728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  <c r="W570" t="s">
        <v>2725</v>
      </c>
      <c r="X570" t="str">
        <v>21-01-24</v>
      </c>
      <c r="Y570" t="str">
        <v>24-01-24</v>
      </c>
      <c r="Z570" t="s">
        <v>2727</v>
      </c>
      <c r="AA570" t="str">
        <v>Kabir Singh</v>
      </c>
      <c r="AB570" t="str">
        <f t="shared" si="81"/>
        <v>Corporate</v>
      </c>
      <c r="AC570" t="str">
        <f t="shared" si="82"/>
        <v>North</v>
      </c>
      <c r="AD570" t="str">
        <f t="shared" si="83"/>
        <v>Punjab</v>
      </c>
      <c r="AE570" t="str">
        <f t="shared" si="84"/>
        <v>Ludhiana</v>
      </c>
      <c r="AF570" t="str">
        <f t="shared" si="85"/>
        <v>Technology</v>
      </c>
      <c r="AG570" t="str">
        <f t="shared" si="86"/>
        <v>Machines</v>
      </c>
      <c r="AH570" t="str">
        <f t="shared" si="87"/>
        <v>Classic Machines 522</v>
      </c>
      <c r="AI570" t="str">
        <f t="shared" si="88"/>
        <v>Same Day</v>
      </c>
      <c r="AJ570" s="3" t="str">
        <f t="shared" si="89"/>
        <v>anomaly</v>
      </c>
      <c r="AK570">
        <f t="shared" si="90"/>
        <v>3</v>
      </c>
    </row>
    <row r="571" spans="1:37">
      <c r="A571" t="s">
        <v>2729</v>
      </c>
      <c r="B571" t="s">
        <v>2730</v>
      </c>
      <c r="C571" t="s">
        <v>2731</v>
      </c>
      <c r="D571" t="s">
        <v>2732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2733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  <c r="W571" t="s">
        <v>2729</v>
      </c>
      <c r="X571" t="str">
        <v>09-08-25</v>
      </c>
      <c r="Y571" t="str">
        <v>10-09-25</v>
      </c>
      <c r="Z571" t="s">
        <v>2732</v>
      </c>
      <c r="AA571" t="str">
        <v>Rahul Verma</v>
      </c>
      <c r="AB571" t="str">
        <f t="shared" si="81"/>
        <v>Home Office</v>
      </c>
      <c r="AC571" t="str">
        <f t="shared" si="82"/>
        <v>West</v>
      </c>
      <c r="AD571" t="str">
        <f t="shared" si="83"/>
        <v>Maharashtra</v>
      </c>
      <c r="AE571" t="str">
        <f t="shared" si="84"/>
        <v>Mumbai</v>
      </c>
      <c r="AF571" t="str">
        <f t="shared" si="85"/>
        <v>Furniture</v>
      </c>
      <c r="AG571" t="str">
        <f t="shared" si="86"/>
        <v>Furnishings</v>
      </c>
      <c r="AH571" t="str">
        <f t="shared" si="87"/>
        <v>Elite Furnishings 822</v>
      </c>
      <c r="AI571" t="str">
        <f t="shared" si="88"/>
        <v>Standard Class</v>
      </c>
      <c r="AJ571" s="3" t="str">
        <f t="shared" si="89"/>
        <v>anomaly</v>
      </c>
      <c r="AK571">
        <f t="shared" si="90"/>
        <v>32</v>
      </c>
    </row>
    <row r="572" spans="1:37">
      <c r="A572" t="s">
        <v>2734</v>
      </c>
      <c r="B572" t="s">
        <v>920</v>
      </c>
      <c r="C572" t="s">
        <v>697</v>
      </c>
      <c r="D572" t="s">
        <v>2735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2736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  <c r="W572" t="s">
        <v>2734</v>
      </c>
      <c r="X572" t="str">
        <v>18-08-25</v>
      </c>
      <c r="Y572" t="str">
        <v>invalid date</v>
      </c>
      <c r="Z572" t="s">
        <v>2735</v>
      </c>
      <c r="AA572" t="str">
        <v>Arjun Bose</v>
      </c>
      <c r="AB572" t="str">
        <f t="shared" si="81"/>
        <v>Consumer</v>
      </c>
      <c r="AC572" t="str">
        <f t="shared" si="82"/>
        <v>East</v>
      </c>
      <c r="AD572" t="str">
        <f t="shared" si="83"/>
        <v>Jharkhand</v>
      </c>
      <c r="AE572" t="str">
        <f t="shared" si="84"/>
        <v>Ranchi</v>
      </c>
      <c r="AF572" t="str">
        <f t="shared" si="85"/>
        <v>Furniture</v>
      </c>
      <c r="AG572" t="str">
        <f t="shared" si="86"/>
        <v>Furnishings</v>
      </c>
      <c r="AH572" t="str">
        <f t="shared" si="87"/>
        <v>Max Furnishings 647</v>
      </c>
      <c r="AI572" t="str">
        <f t="shared" si="88"/>
        <v>Second Class</v>
      </c>
      <c r="AJ572" s="3" t="str">
        <f t="shared" si="89"/>
        <v>Invalid</v>
      </c>
      <c r="AK572" t="str">
        <f t="shared" si="90"/>
        <v>invalid date</v>
      </c>
    </row>
    <row r="573" spans="1:37">
      <c r="A573" t="s">
        <v>2737</v>
      </c>
      <c r="B573" t="s">
        <v>2673</v>
      </c>
      <c r="C573" t="s">
        <v>2738</v>
      </c>
      <c r="D573" t="s">
        <v>2739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2740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  <c r="W573" t="s">
        <v>2737</v>
      </c>
      <c r="X573" t="str">
        <v>10-02-25</v>
      </c>
      <c r="Y573" t="str">
        <v>14-02-25</v>
      </c>
      <c r="Z573" t="s">
        <v>2739</v>
      </c>
      <c r="AA573" t="str">
        <v>Priya Menon</v>
      </c>
      <c r="AB573" t="str">
        <f t="shared" si="81"/>
        <v>Small Business</v>
      </c>
      <c r="AC573" t="str">
        <f t="shared" si="82"/>
        <v>North</v>
      </c>
      <c r="AD573" t="str">
        <f t="shared" si="83"/>
        <v>Uttar Pradesh</v>
      </c>
      <c r="AE573" t="str">
        <f t="shared" si="84"/>
        <v>Noida</v>
      </c>
      <c r="AF573" t="str">
        <f t="shared" si="85"/>
        <v>Technology</v>
      </c>
      <c r="AG573" t="str">
        <f t="shared" si="86"/>
        <v>Phones</v>
      </c>
      <c r="AH573" t="str">
        <f t="shared" si="87"/>
        <v>Prime Phones 895</v>
      </c>
      <c r="AI573" s="5" t="s">
        <v>4116</v>
      </c>
      <c r="AJ573" s="3" t="str">
        <f t="shared" si="89"/>
        <v>anomaly</v>
      </c>
      <c r="AK573">
        <f t="shared" si="90"/>
        <v>4</v>
      </c>
    </row>
    <row r="574" spans="1:37">
      <c r="A574" t="s">
        <v>2741</v>
      </c>
      <c r="B574" t="s">
        <v>2742</v>
      </c>
      <c r="C574" t="s">
        <v>2743</v>
      </c>
      <c r="D574" t="s">
        <v>2744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2745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  <c r="W574" t="s">
        <v>2741</v>
      </c>
      <c r="X574" t="str">
        <v>01-02-24</v>
      </c>
      <c r="Y574" t="str">
        <v>09-01-24</v>
      </c>
      <c r="Z574" t="s">
        <v>2744</v>
      </c>
      <c r="AA574" t="str">
        <v>Diya Patel</v>
      </c>
      <c r="AB574" t="str">
        <f t="shared" si="81"/>
        <v>Corporate</v>
      </c>
      <c r="AC574" t="str">
        <f t="shared" si="82"/>
        <v>North</v>
      </c>
      <c r="AD574" t="str">
        <f t="shared" si="83"/>
        <v>Delhi</v>
      </c>
      <c r="AE574" t="str">
        <f t="shared" si="84"/>
        <v>New Delhi</v>
      </c>
      <c r="AF574" t="str">
        <f t="shared" si="85"/>
        <v>Technology</v>
      </c>
      <c r="AG574" t="str">
        <f t="shared" si="86"/>
        <v>Phones</v>
      </c>
      <c r="AH574" t="str">
        <f t="shared" si="87"/>
        <v>Eco Phones 368</v>
      </c>
      <c r="AI574" t="str">
        <f t="shared" si="88"/>
        <v>Standard Class</v>
      </c>
      <c r="AJ574" s="3" t="str">
        <f t="shared" si="89"/>
        <v>anomaly</v>
      </c>
      <c r="AK574">
        <f t="shared" si="90"/>
        <v>-23</v>
      </c>
    </row>
    <row r="575" spans="1:37">
      <c r="A575" t="s">
        <v>2746</v>
      </c>
      <c r="B575" t="s">
        <v>2747</v>
      </c>
      <c r="C575" t="s">
        <v>2748</v>
      </c>
      <c r="D575" t="s">
        <v>2749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2750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  <c r="W575" t="s">
        <v>2746</v>
      </c>
      <c r="X575" t="str">
        <v>invalid date</v>
      </c>
      <c r="Y575" t="str">
        <v>invalid date</v>
      </c>
      <c r="Z575" t="s">
        <v>2749</v>
      </c>
      <c r="AA575" t="str">
        <v>Isha Nair</v>
      </c>
      <c r="AB575" t="str">
        <f t="shared" si="81"/>
        <v>Consumer</v>
      </c>
      <c r="AC575" t="str">
        <f t="shared" si="82"/>
        <v>South</v>
      </c>
      <c r="AD575" t="str">
        <f t="shared" si="83"/>
        <v>Andhra Pradesh</v>
      </c>
      <c r="AE575" t="str">
        <f t="shared" si="84"/>
        <v>Vijayawada</v>
      </c>
      <c r="AF575" t="str">
        <f t="shared" si="85"/>
        <v>Technology</v>
      </c>
      <c r="AG575" t="str">
        <f t="shared" si="86"/>
        <v>Phones</v>
      </c>
      <c r="AH575" t="str">
        <f t="shared" si="87"/>
        <v>Pro Phones 644</v>
      </c>
      <c r="AI575" t="str">
        <f t="shared" si="88"/>
        <v>Standard Class</v>
      </c>
      <c r="AJ575" s="3" t="str">
        <f t="shared" si="89"/>
        <v>Invalid</v>
      </c>
      <c r="AK575" t="str">
        <f t="shared" si="90"/>
        <v>invalid date</v>
      </c>
    </row>
    <row r="576" spans="1:37">
      <c r="A576" t="s">
        <v>2751</v>
      </c>
      <c r="B576" t="s">
        <v>2752</v>
      </c>
      <c r="C576" t="s">
        <v>1643</v>
      </c>
      <c r="D576" t="s">
        <v>1224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2753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  <c r="W576" t="s">
        <v>2751</v>
      </c>
      <c r="X576" t="str">
        <v>20-02-24</v>
      </c>
      <c r="Y576" t="str">
        <v>25-02-24</v>
      </c>
      <c r="Z576" t="s">
        <v>1224</v>
      </c>
      <c r="AA576" t="str">
        <v>Diya Patel</v>
      </c>
      <c r="AB576" t="str">
        <f t="shared" si="81"/>
        <v>Home Office</v>
      </c>
      <c r="AC576" t="str">
        <f t="shared" si="82"/>
        <v>North</v>
      </c>
      <c r="AD576" t="str">
        <f t="shared" si="83"/>
        <v>Punjab</v>
      </c>
      <c r="AE576" t="str">
        <f t="shared" si="84"/>
        <v>Ludhiana</v>
      </c>
      <c r="AF576" t="str">
        <f t="shared" si="85"/>
        <v>Technology</v>
      </c>
      <c r="AG576" t="str">
        <f t="shared" si="86"/>
        <v>Machines</v>
      </c>
      <c r="AH576" t="str">
        <f t="shared" si="87"/>
        <v>Smart Machines 566</v>
      </c>
      <c r="AI576" t="str">
        <f t="shared" si="88"/>
        <v>Standard Class</v>
      </c>
      <c r="AJ576" s="3" t="str">
        <f t="shared" si="89"/>
        <v>anomaly</v>
      </c>
      <c r="AK576">
        <f t="shared" si="90"/>
        <v>5</v>
      </c>
    </row>
    <row r="577" spans="1:37">
      <c r="A577" t="s">
        <v>2754</v>
      </c>
      <c r="B577" t="s">
        <v>2755</v>
      </c>
      <c r="C577" t="s">
        <v>2756</v>
      </c>
      <c r="D577" t="s">
        <v>2757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2758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  <c r="W577" t="s">
        <v>2754</v>
      </c>
      <c r="X577" t="str">
        <v>11-03-25</v>
      </c>
      <c r="Y577" t="str">
        <v>14-03-25</v>
      </c>
      <c r="Z577" t="s">
        <v>2757</v>
      </c>
      <c r="AA577" t="str">
        <v>Sneha Kapoor</v>
      </c>
      <c r="AB577" t="str">
        <f t="shared" si="81"/>
        <v>Home Office</v>
      </c>
      <c r="AC577" t="str">
        <f t="shared" si="82"/>
        <v>South</v>
      </c>
      <c r="AD577" t="str">
        <f t="shared" si="83"/>
        <v>Kerala</v>
      </c>
      <c r="AE577" t="str">
        <f t="shared" si="84"/>
        <v>Kochi</v>
      </c>
      <c r="AF577" t="str">
        <f t="shared" si="85"/>
        <v>Furniture</v>
      </c>
      <c r="AG577" t="str">
        <f t="shared" si="86"/>
        <v>Furnishings</v>
      </c>
      <c r="AH577" t="str">
        <f t="shared" si="87"/>
        <v>Elite Furnishings 173</v>
      </c>
      <c r="AI577" t="str">
        <f t="shared" si="88"/>
        <v>Same Day</v>
      </c>
      <c r="AJ577" s="3" t="str">
        <f t="shared" si="89"/>
        <v>anomaly</v>
      </c>
      <c r="AK577">
        <f t="shared" si="90"/>
        <v>3</v>
      </c>
    </row>
    <row r="578" spans="1:37">
      <c r="A578" t="s">
        <v>2759</v>
      </c>
      <c r="B578" t="s">
        <v>2760</v>
      </c>
      <c r="C578" t="s">
        <v>2761</v>
      </c>
      <c r="D578" t="s">
        <v>2762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2763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  <c r="W578" t="s">
        <v>2759</v>
      </c>
      <c r="X578" t="str">
        <v>17-02-24</v>
      </c>
      <c r="Y578" t="str">
        <v>invalid date</v>
      </c>
      <c r="Z578" t="s">
        <v>2762</v>
      </c>
      <c r="AA578" t="str">
        <v>Rohan Mehta</v>
      </c>
      <c r="AB578" t="str">
        <f t="shared" si="81"/>
        <v>Home Office</v>
      </c>
      <c r="AC578" s="5" t="s">
        <v>4116</v>
      </c>
      <c r="AD578" t="str">
        <f t="shared" si="83"/>
        <v>Bihar</v>
      </c>
      <c r="AE578" t="str">
        <f t="shared" si="84"/>
        <v>Patna</v>
      </c>
      <c r="AF578" t="str">
        <f t="shared" si="85"/>
        <v>Office Supplies</v>
      </c>
      <c r="AG578" t="str">
        <f t="shared" si="86"/>
        <v>Binders</v>
      </c>
      <c r="AH578" t="str">
        <f t="shared" si="87"/>
        <v>Smart Binders 417</v>
      </c>
      <c r="AI578" t="str">
        <f t="shared" si="88"/>
        <v>Standard Class</v>
      </c>
      <c r="AJ578" s="3" t="str">
        <f t="shared" si="89"/>
        <v>Invalid</v>
      </c>
      <c r="AK578" t="str">
        <f t="shared" si="90"/>
        <v>invalid date</v>
      </c>
    </row>
    <row r="579" spans="1:37">
      <c r="A579" t="s">
        <v>2764</v>
      </c>
      <c r="B579" t="s">
        <v>435</v>
      </c>
      <c r="C579" t="s">
        <v>2765</v>
      </c>
      <c r="D579" t="s">
        <v>2766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2767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  <c r="W579" t="s">
        <v>2764</v>
      </c>
      <c r="X579" t="str">
        <v>invalid date</v>
      </c>
      <c r="Y579" t="str">
        <v>03-09-25</v>
      </c>
      <c r="Z579" t="s">
        <v>2766</v>
      </c>
      <c r="AA579" t="str">
        <v>Priya Menon</v>
      </c>
      <c r="AB579" t="str">
        <f t="shared" ref="AB579:AB642" si="91">TRIM(PROPER(F:F))</f>
        <v>Corporate</v>
      </c>
      <c r="AC579" t="str">
        <f t="shared" ref="AC579:AC642" si="92">TRIM(PROPER(G:G))</f>
        <v>West</v>
      </c>
      <c r="AD579" t="str">
        <f t="shared" ref="AD579:AD642" si="93">TRIM(PROPER(H:H))</f>
        <v>Madhya Pradesh</v>
      </c>
      <c r="AE579" t="str">
        <f t="shared" ref="AE579:AE642" si="94">TRIM(PROPER(I:I))</f>
        <v>Indore</v>
      </c>
      <c r="AF579" t="str">
        <f t="shared" ref="AF579:AF642" si="95">TRIM(PROPER(J:J))</f>
        <v>Furniture</v>
      </c>
      <c r="AG579" t="str">
        <f t="shared" ref="AG579:AG642" si="96">TRIM(PROPER(K:K))</f>
        <v>Furnishings</v>
      </c>
      <c r="AH579" t="str">
        <f t="shared" ref="AH579:AH642" si="97">TRIM(PROPER(L:L))</f>
        <v>Smart Furnishings 714</v>
      </c>
      <c r="AI579" t="str">
        <f t="shared" ref="AI579:AI642" si="98">TRIM(PROPER(M:M))</f>
        <v>Standard Class</v>
      </c>
      <c r="AJ579" s="3" t="str">
        <f t="shared" ref="AJ579:AJ642" si="99">IF(OR(X:X="Invalid Date",Y:Y="Invalid Date"),"Invalid",(IF(X:X&lt;Y:Y,"anomaly", "  ")))</f>
        <v>Invalid</v>
      </c>
      <c r="AK579" t="str">
        <f t="shared" ref="AK579:AK642" si="100">IFERROR(Y579-X579, "invalid date")</f>
        <v>invalid date</v>
      </c>
    </row>
    <row r="580" spans="1:37">
      <c r="A580" t="s">
        <v>2768</v>
      </c>
      <c r="B580" t="s">
        <v>2769</v>
      </c>
      <c r="C580" t="s">
        <v>2770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2771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  <c r="W580" t="s">
        <v>2768</v>
      </c>
      <c r="X580" t="str">
        <v>21-02-24</v>
      </c>
      <c r="Y580" t="str">
        <v>23-02-24</v>
      </c>
      <c r="Z580" t="s">
        <v>417</v>
      </c>
      <c r="AA580" t="str">
        <v>Neha Gupta</v>
      </c>
      <c r="AB580" t="str">
        <f t="shared" si="91"/>
        <v>Small Business</v>
      </c>
      <c r="AC580" t="str">
        <f t="shared" si="92"/>
        <v>West</v>
      </c>
      <c r="AD580" t="str">
        <f t="shared" si="93"/>
        <v>Gujarat</v>
      </c>
      <c r="AE580" t="str">
        <f t="shared" si="94"/>
        <v>Ahmedabad</v>
      </c>
      <c r="AF580" t="str">
        <f t="shared" si="95"/>
        <v>Technology</v>
      </c>
      <c r="AG580" t="str">
        <f t="shared" si="96"/>
        <v>Copiers</v>
      </c>
      <c r="AH580" t="str">
        <f t="shared" si="97"/>
        <v>Elite Copiers 682</v>
      </c>
      <c r="AI580" t="str">
        <f t="shared" si="98"/>
        <v>First Class</v>
      </c>
      <c r="AJ580" s="3" t="str">
        <f t="shared" si="99"/>
        <v>anomaly</v>
      </c>
      <c r="AK580">
        <f t="shared" si="100"/>
        <v>2</v>
      </c>
    </row>
    <row r="581" spans="1:37">
      <c r="A581" t="s">
        <v>2772</v>
      </c>
      <c r="B581" t="s">
        <v>2773</v>
      </c>
      <c r="C581" t="s">
        <v>2774</v>
      </c>
      <c r="D581" t="s">
        <v>2775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2776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  <c r="W581" t="s">
        <v>2772</v>
      </c>
      <c r="X581" t="str">
        <v>19-06-24</v>
      </c>
      <c r="Y581" t="str">
        <v>24-06-24</v>
      </c>
      <c r="Z581" t="s">
        <v>2775</v>
      </c>
      <c r="AA581" t="str">
        <v>Aarav Sharma</v>
      </c>
      <c r="AB581" t="str">
        <f t="shared" si="91"/>
        <v>Small Business</v>
      </c>
      <c r="AC581" t="str">
        <f t="shared" si="92"/>
        <v>South</v>
      </c>
      <c r="AD581" t="str">
        <f t="shared" si="93"/>
        <v>Tamil Nadu</v>
      </c>
      <c r="AE581" t="str">
        <f t="shared" si="94"/>
        <v>Chennai</v>
      </c>
      <c r="AF581" t="str">
        <f t="shared" si="95"/>
        <v>Office Supplies</v>
      </c>
      <c r="AG581" t="str">
        <f t="shared" si="96"/>
        <v>Storage</v>
      </c>
      <c r="AH581" t="str">
        <f t="shared" si="97"/>
        <v>Pro Storage 482</v>
      </c>
      <c r="AI581" t="str">
        <f t="shared" si="98"/>
        <v>Same Day</v>
      </c>
      <c r="AJ581" s="3" t="str">
        <f t="shared" si="99"/>
        <v>anomaly</v>
      </c>
      <c r="AK581">
        <f t="shared" si="100"/>
        <v>5</v>
      </c>
    </row>
    <row r="582" spans="1:37">
      <c r="A582" t="s">
        <v>2777</v>
      </c>
      <c r="B582" t="s">
        <v>2778</v>
      </c>
      <c r="C582" t="s">
        <v>1457</v>
      </c>
      <c r="D582" t="s">
        <v>2779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2780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  <c r="W582" t="s">
        <v>2777</v>
      </c>
      <c r="X582" t="str">
        <v>06-03-25</v>
      </c>
      <c r="Y582" t="str">
        <v>invalid date</v>
      </c>
      <c r="Z582" t="s">
        <v>2779</v>
      </c>
      <c r="AA582" t="str">
        <v>Kabir Singh</v>
      </c>
      <c r="AB582" t="str">
        <f t="shared" si="91"/>
        <v>Consumer</v>
      </c>
      <c r="AC582" t="str">
        <f t="shared" si="92"/>
        <v>South</v>
      </c>
      <c r="AD582" t="str">
        <f t="shared" si="93"/>
        <v>Kerala</v>
      </c>
      <c r="AE582" t="str">
        <f t="shared" si="94"/>
        <v>Kochi</v>
      </c>
      <c r="AF582" t="str">
        <f t="shared" si="95"/>
        <v>Furniture</v>
      </c>
      <c r="AG582" t="str">
        <f t="shared" si="96"/>
        <v>Chairs</v>
      </c>
      <c r="AH582" t="str">
        <f t="shared" si="97"/>
        <v>Pro Chairs 888</v>
      </c>
      <c r="AI582" t="str">
        <f t="shared" si="98"/>
        <v>Standard Class</v>
      </c>
      <c r="AJ582" s="3" t="str">
        <f t="shared" si="99"/>
        <v>Invalid</v>
      </c>
      <c r="AK582" t="str">
        <f t="shared" si="100"/>
        <v>invalid date</v>
      </c>
    </row>
    <row r="583" spans="1:37">
      <c r="A583" t="s">
        <v>2781</v>
      </c>
      <c r="B583" t="s">
        <v>1341</v>
      </c>
      <c r="C583" t="s">
        <v>2782</v>
      </c>
      <c r="D583" t="s">
        <v>2783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2784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  <c r="W583" t="s">
        <v>2781</v>
      </c>
      <c r="X583" t="str">
        <v>09-08-25</v>
      </c>
      <c r="Y583" t="str">
        <v>08-10-25</v>
      </c>
      <c r="Z583" t="s">
        <v>2783</v>
      </c>
      <c r="AA583" t="str">
        <v>Neha Gupta</v>
      </c>
      <c r="AB583" t="str">
        <f t="shared" si="91"/>
        <v>Consumer</v>
      </c>
      <c r="AC583" t="str">
        <f t="shared" si="92"/>
        <v>North</v>
      </c>
      <c r="AD583" t="str">
        <f t="shared" si="93"/>
        <v>Delhi</v>
      </c>
      <c r="AE583" t="str">
        <f t="shared" si="94"/>
        <v>New Delhi</v>
      </c>
      <c r="AF583" t="str">
        <f t="shared" si="95"/>
        <v>Office Supplies</v>
      </c>
      <c r="AG583" t="str">
        <f t="shared" si="96"/>
        <v>Art</v>
      </c>
      <c r="AH583" t="str">
        <f t="shared" si="97"/>
        <v>Classic Art 611</v>
      </c>
      <c r="AI583" t="str">
        <f t="shared" si="98"/>
        <v>Second Class</v>
      </c>
      <c r="AJ583" s="3" t="str">
        <f t="shared" si="99"/>
        <v xml:space="preserve">  </v>
      </c>
      <c r="AK583">
        <f t="shared" si="100"/>
        <v>60</v>
      </c>
    </row>
    <row r="584" spans="1:37">
      <c r="A584" t="s">
        <v>2785</v>
      </c>
      <c r="B584" t="s">
        <v>2786</v>
      </c>
      <c r="C584" t="s">
        <v>2787</v>
      </c>
      <c r="D584" t="s">
        <v>2788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2789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  <c r="W584" t="s">
        <v>2785</v>
      </c>
      <c r="X584" t="str">
        <v>15-10-24</v>
      </c>
      <c r="Y584" t="str">
        <v>invalid date</v>
      </c>
      <c r="Z584" t="s">
        <v>2788</v>
      </c>
      <c r="AA584" t="str">
        <v>Ananya Rao</v>
      </c>
      <c r="AB584" t="str">
        <f t="shared" si="91"/>
        <v>Consumer</v>
      </c>
      <c r="AC584" t="str">
        <f t="shared" si="92"/>
        <v>East</v>
      </c>
      <c r="AD584" t="str">
        <f t="shared" si="93"/>
        <v>Odisha</v>
      </c>
      <c r="AE584" t="str">
        <f t="shared" si="94"/>
        <v>Bhubaneswar</v>
      </c>
      <c r="AF584" t="str">
        <f t="shared" si="95"/>
        <v>Office Supplies</v>
      </c>
      <c r="AG584" t="str">
        <f t="shared" si="96"/>
        <v>Art</v>
      </c>
      <c r="AH584" t="str">
        <f t="shared" si="97"/>
        <v>Basic Art 174</v>
      </c>
      <c r="AI584" t="str">
        <f t="shared" si="98"/>
        <v>First Class</v>
      </c>
      <c r="AJ584" s="3" t="str">
        <f t="shared" si="99"/>
        <v>Invalid</v>
      </c>
      <c r="AK584" t="str">
        <f t="shared" si="100"/>
        <v>invalid date</v>
      </c>
    </row>
    <row r="585" spans="1:37">
      <c r="A585" t="s">
        <v>2790</v>
      </c>
      <c r="B585" t="s">
        <v>626</v>
      </c>
      <c r="C585" t="s">
        <v>2791</v>
      </c>
      <c r="D585" t="s">
        <v>2792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2793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  <c r="W585" t="s">
        <v>2790</v>
      </c>
      <c r="X585" t="str">
        <v>28-02-24</v>
      </c>
      <c r="Y585" t="str">
        <v>invalid date</v>
      </c>
      <c r="Z585" t="s">
        <v>2792</v>
      </c>
      <c r="AA585" t="str">
        <v>Rohan Mehta</v>
      </c>
      <c r="AB585" t="str">
        <f t="shared" si="91"/>
        <v>Small Business</v>
      </c>
      <c r="AC585" t="str">
        <f t="shared" si="92"/>
        <v>East</v>
      </c>
      <c r="AD585" t="str">
        <f t="shared" si="93"/>
        <v>West Bengal</v>
      </c>
      <c r="AE585" t="str">
        <f t="shared" si="94"/>
        <v>Kolkata</v>
      </c>
      <c r="AF585" t="str">
        <f t="shared" si="95"/>
        <v>Office Supplies</v>
      </c>
      <c r="AG585" t="str">
        <f t="shared" si="96"/>
        <v>Storage</v>
      </c>
      <c r="AH585" t="str">
        <f t="shared" si="97"/>
        <v>Classic Storage 451</v>
      </c>
      <c r="AI585" t="str">
        <f t="shared" si="98"/>
        <v>First Class</v>
      </c>
      <c r="AJ585" s="3" t="str">
        <f t="shared" si="99"/>
        <v>Invalid</v>
      </c>
      <c r="AK585" t="str">
        <f t="shared" si="100"/>
        <v>invalid date</v>
      </c>
    </row>
    <row r="586" spans="1:37">
      <c r="A586" t="s">
        <v>2794</v>
      </c>
      <c r="B586" t="s">
        <v>2795</v>
      </c>
      <c r="C586" t="s">
        <v>2796</v>
      </c>
      <c r="D586" t="s">
        <v>2797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2798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  <c r="W586" t="s">
        <v>2794</v>
      </c>
      <c r="X586" t="str">
        <v>08-04-24</v>
      </c>
      <c r="Y586" t="str">
        <v>10-08-24</v>
      </c>
      <c r="Z586" t="s">
        <v>2797</v>
      </c>
      <c r="AA586" t="str">
        <v>Vikram Iyer</v>
      </c>
      <c r="AB586" t="str">
        <f t="shared" si="91"/>
        <v>Consumer</v>
      </c>
      <c r="AC586" t="str">
        <f t="shared" si="92"/>
        <v>East</v>
      </c>
      <c r="AD586" t="str">
        <f t="shared" si="93"/>
        <v>Bihar</v>
      </c>
      <c r="AE586" t="str">
        <f t="shared" si="94"/>
        <v>Patna</v>
      </c>
      <c r="AF586" t="str">
        <f t="shared" si="95"/>
        <v>Office Supplies</v>
      </c>
      <c r="AG586" t="str">
        <f t="shared" si="96"/>
        <v>Art</v>
      </c>
      <c r="AH586" t="str">
        <f t="shared" si="97"/>
        <v>Pro Art 172</v>
      </c>
      <c r="AI586" t="str">
        <f t="shared" si="98"/>
        <v>Same Day</v>
      </c>
      <c r="AJ586" s="3" t="str">
        <f t="shared" si="99"/>
        <v>anomaly</v>
      </c>
      <c r="AK586">
        <f t="shared" si="100"/>
        <v>124</v>
      </c>
    </row>
    <row r="587" spans="1:37">
      <c r="A587" t="s">
        <v>2799</v>
      </c>
      <c r="B587" t="s">
        <v>1686</v>
      </c>
      <c r="C587" t="s">
        <v>2800</v>
      </c>
      <c r="D587" t="s">
        <v>2801</v>
      </c>
      <c r="E587" t="s">
        <v>210</v>
      </c>
      <c r="F587" t="s">
        <v>41</v>
      </c>
      <c r="G587" t="s">
        <v>1049</v>
      </c>
      <c r="H587" t="s">
        <v>74</v>
      </c>
      <c r="I587" t="s">
        <v>75</v>
      </c>
      <c r="J587" t="s">
        <v>86</v>
      </c>
      <c r="K587" t="s">
        <v>223</v>
      </c>
      <c r="L587" t="s">
        <v>2802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  <c r="W587" t="s">
        <v>2799</v>
      </c>
      <c r="X587" t="str">
        <v>22-06-25</v>
      </c>
      <c r="Y587" t="str">
        <v>25-06-25</v>
      </c>
      <c r="Z587" t="s">
        <v>2801</v>
      </c>
      <c r="AA587" t="str">
        <v>Diya Patel</v>
      </c>
      <c r="AB587" t="str">
        <f t="shared" si="91"/>
        <v>Small Business</v>
      </c>
      <c r="AC587" t="str">
        <f t="shared" si="92"/>
        <v>West</v>
      </c>
      <c r="AD587" t="str">
        <f t="shared" si="93"/>
        <v>Maharashtra</v>
      </c>
      <c r="AE587" t="str">
        <f t="shared" si="94"/>
        <v>Mumbai</v>
      </c>
      <c r="AF587" t="str">
        <f t="shared" si="95"/>
        <v>Technology</v>
      </c>
      <c r="AG587" t="str">
        <f t="shared" si="96"/>
        <v>Phones</v>
      </c>
      <c r="AH587" t="str">
        <f t="shared" si="97"/>
        <v>Prime Phones 744</v>
      </c>
      <c r="AI587" t="str">
        <f t="shared" si="98"/>
        <v>First Class</v>
      </c>
      <c r="AJ587" s="3" t="str">
        <f t="shared" si="99"/>
        <v>anomaly</v>
      </c>
      <c r="AK587">
        <f t="shared" si="100"/>
        <v>3</v>
      </c>
    </row>
    <row r="588" spans="1:37">
      <c r="A588" t="s">
        <v>2803</v>
      </c>
      <c r="B588" t="s">
        <v>2804</v>
      </c>
      <c r="C588" t="s">
        <v>2805</v>
      </c>
      <c r="D588" t="s">
        <v>2806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2807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  <c r="W588" t="s">
        <v>2803</v>
      </c>
      <c r="X588" t="str">
        <v>12-04-25</v>
      </c>
      <c r="Y588" t="str">
        <v>12-04-25</v>
      </c>
      <c r="Z588" t="s">
        <v>2806</v>
      </c>
      <c r="AA588" t="str">
        <v>Mira Das</v>
      </c>
      <c r="AB588" t="str">
        <f t="shared" si="91"/>
        <v>Home Office</v>
      </c>
      <c r="AC588" t="str">
        <f t="shared" si="92"/>
        <v>North</v>
      </c>
      <c r="AD588" t="str">
        <f t="shared" si="93"/>
        <v>Punjab</v>
      </c>
      <c r="AE588" t="str">
        <f t="shared" si="94"/>
        <v>Ludhiana</v>
      </c>
      <c r="AF588" t="str">
        <f t="shared" si="95"/>
        <v>Office Supplies</v>
      </c>
      <c r="AG588" t="str">
        <f t="shared" si="96"/>
        <v>Binders</v>
      </c>
      <c r="AH588" t="str">
        <f t="shared" si="97"/>
        <v>Prime Binders 249</v>
      </c>
      <c r="AI588" t="str">
        <f t="shared" si="98"/>
        <v>Second Class</v>
      </c>
      <c r="AJ588" s="3" t="str">
        <f t="shared" si="99"/>
        <v xml:space="preserve">  </v>
      </c>
      <c r="AK588">
        <f t="shared" si="100"/>
        <v>0</v>
      </c>
    </row>
    <row r="589" spans="1:37">
      <c r="A589" t="s">
        <v>2808</v>
      </c>
      <c r="B589" t="s">
        <v>2809</v>
      </c>
      <c r="C589" t="s">
        <v>2810</v>
      </c>
      <c r="D589" t="s">
        <v>2811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2812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  <c r="W589" t="s">
        <v>2808</v>
      </c>
      <c r="X589" t="str">
        <v>23-07-25</v>
      </c>
      <c r="Y589" t="str">
        <v>31-07-25</v>
      </c>
      <c r="Z589" t="s">
        <v>2811</v>
      </c>
      <c r="AA589" t="str">
        <v>Kabir Singh</v>
      </c>
      <c r="AB589" t="str">
        <f t="shared" si="91"/>
        <v>Home Office</v>
      </c>
      <c r="AC589" t="str">
        <f t="shared" si="92"/>
        <v>West</v>
      </c>
      <c r="AD589" t="str">
        <f t="shared" si="93"/>
        <v>Madhya Pradesh</v>
      </c>
      <c r="AE589" t="str">
        <f t="shared" si="94"/>
        <v>Indore</v>
      </c>
      <c r="AF589" t="str">
        <f t="shared" si="95"/>
        <v>Technology</v>
      </c>
      <c r="AG589" t="str">
        <f t="shared" si="96"/>
        <v>Accessories</v>
      </c>
      <c r="AH589" t="str">
        <f t="shared" si="97"/>
        <v>Eco Accessories 948</v>
      </c>
      <c r="AI589" t="str">
        <f t="shared" si="98"/>
        <v>First Class</v>
      </c>
      <c r="AJ589" s="3" t="str">
        <f t="shared" si="99"/>
        <v>anomaly</v>
      </c>
      <c r="AK589">
        <f t="shared" si="100"/>
        <v>8</v>
      </c>
    </row>
    <row r="590" spans="1:37">
      <c r="A590" t="s">
        <v>2813</v>
      </c>
      <c r="B590" t="s">
        <v>2814</v>
      </c>
      <c r="C590" t="s">
        <v>2815</v>
      </c>
      <c r="D590" t="s">
        <v>2816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2817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  <c r="W590" t="s">
        <v>2813</v>
      </c>
      <c r="X590" t="str">
        <v>11-03-25</v>
      </c>
      <c r="Y590" t="str">
        <v>15-03-25</v>
      </c>
      <c r="Z590" t="s">
        <v>2816</v>
      </c>
      <c r="AA590" t="str">
        <v>Aarav Sharma</v>
      </c>
      <c r="AB590" t="str">
        <f t="shared" si="91"/>
        <v>Home Office</v>
      </c>
      <c r="AC590" t="str">
        <f t="shared" si="92"/>
        <v>South</v>
      </c>
      <c r="AD590" t="str">
        <f t="shared" si="93"/>
        <v>Karnataka</v>
      </c>
      <c r="AE590" t="str">
        <f t="shared" si="94"/>
        <v>Bengaluru</v>
      </c>
      <c r="AF590" t="str">
        <f t="shared" si="95"/>
        <v>Technology</v>
      </c>
      <c r="AG590" t="str">
        <f t="shared" si="96"/>
        <v>Accessories</v>
      </c>
      <c r="AH590" t="str">
        <f t="shared" si="97"/>
        <v>Classic Accessories 458</v>
      </c>
      <c r="AI590" t="str">
        <f t="shared" si="98"/>
        <v>Second Class</v>
      </c>
      <c r="AJ590" s="3" t="str">
        <f t="shared" si="99"/>
        <v>anomaly</v>
      </c>
      <c r="AK590">
        <f t="shared" si="100"/>
        <v>4</v>
      </c>
    </row>
    <row r="591" spans="1:37">
      <c r="A591" t="s">
        <v>2818</v>
      </c>
      <c r="B591" t="s">
        <v>2819</v>
      </c>
      <c r="C591" t="s">
        <v>2820</v>
      </c>
      <c r="D591" t="s">
        <v>2821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2822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  <c r="W591" t="s">
        <v>2818</v>
      </c>
      <c r="X591" t="str">
        <v>06-12-24</v>
      </c>
      <c r="Y591" t="str">
        <v>12-12-24</v>
      </c>
      <c r="Z591" t="s">
        <v>2821</v>
      </c>
      <c r="AA591" t="str">
        <v>Rohan Mehta</v>
      </c>
      <c r="AB591" t="str">
        <f t="shared" si="91"/>
        <v>Corporate</v>
      </c>
      <c r="AC591" t="str">
        <f t="shared" si="92"/>
        <v>North</v>
      </c>
      <c r="AD591" t="str">
        <f t="shared" si="93"/>
        <v>Uttar Pradesh</v>
      </c>
      <c r="AE591" t="str">
        <f t="shared" si="94"/>
        <v>Noida</v>
      </c>
      <c r="AF591" t="str">
        <f t="shared" si="95"/>
        <v>Technology</v>
      </c>
      <c r="AG591" t="str">
        <f t="shared" si="96"/>
        <v>Phones</v>
      </c>
      <c r="AH591" t="str">
        <f t="shared" si="97"/>
        <v>Max Phones 318</v>
      </c>
      <c r="AI591" t="str">
        <f t="shared" si="98"/>
        <v>First Class</v>
      </c>
      <c r="AJ591" s="3" t="str">
        <f t="shared" si="99"/>
        <v>anomaly</v>
      </c>
      <c r="AK591">
        <f t="shared" si="100"/>
        <v>6</v>
      </c>
    </row>
    <row r="592" spans="1:37">
      <c r="A592" t="s">
        <v>2823</v>
      </c>
      <c r="B592" t="s">
        <v>273</v>
      </c>
      <c r="C592" t="s">
        <v>2824</v>
      </c>
      <c r="D592" t="s">
        <v>2825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2826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  <c r="W592" t="s">
        <v>2823</v>
      </c>
      <c r="X592" t="str">
        <v>29-05-24</v>
      </c>
      <c r="Y592" t="str">
        <v>29-05-24</v>
      </c>
      <c r="Z592" t="s">
        <v>2825</v>
      </c>
      <c r="AA592" t="str">
        <v>Aarav Sharma</v>
      </c>
      <c r="AB592" t="str">
        <f t="shared" si="91"/>
        <v>Home Office</v>
      </c>
      <c r="AC592" t="str">
        <f t="shared" si="92"/>
        <v>North</v>
      </c>
      <c r="AD592" t="str">
        <f t="shared" si="93"/>
        <v>Delhi</v>
      </c>
      <c r="AE592" t="str">
        <f t="shared" si="94"/>
        <v>New Delhi</v>
      </c>
      <c r="AF592" t="str">
        <f t="shared" si="95"/>
        <v>Furniture</v>
      </c>
      <c r="AG592" t="str">
        <f t="shared" si="96"/>
        <v>Chairs</v>
      </c>
      <c r="AH592" t="str">
        <f t="shared" si="97"/>
        <v>Elite Chairs 372</v>
      </c>
      <c r="AI592" t="str">
        <f t="shared" si="98"/>
        <v>Same Day</v>
      </c>
      <c r="AJ592" s="3" t="str">
        <f t="shared" si="99"/>
        <v xml:space="preserve">  </v>
      </c>
      <c r="AK592">
        <f t="shared" si="100"/>
        <v>0</v>
      </c>
    </row>
    <row r="593" spans="1:37">
      <c r="A593" t="s">
        <v>2827</v>
      </c>
      <c r="B593" t="s">
        <v>2828</v>
      </c>
      <c r="C593" t="s">
        <v>2829</v>
      </c>
      <c r="D593" t="s">
        <v>2830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2831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  <c r="W593" t="s">
        <v>2827</v>
      </c>
      <c r="X593" t="str">
        <v>22-02-24</v>
      </c>
      <c r="Y593" t="str">
        <v>24-02-24</v>
      </c>
      <c r="Z593" t="s">
        <v>2830</v>
      </c>
      <c r="AA593" t="str">
        <v>Sneha Kapoor</v>
      </c>
      <c r="AB593" t="str">
        <f t="shared" si="91"/>
        <v>Consumer</v>
      </c>
      <c r="AC593" t="str">
        <f t="shared" si="92"/>
        <v>South</v>
      </c>
      <c r="AD593" t="str">
        <f t="shared" si="93"/>
        <v>Karnataka</v>
      </c>
      <c r="AE593" t="str">
        <f t="shared" si="94"/>
        <v>Bengaluru</v>
      </c>
      <c r="AF593" t="str">
        <f t="shared" si="95"/>
        <v>Technology</v>
      </c>
      <c r="AG593" t="str">
        <f t="shared" si="96"/>
        <v>Copiers</v>
      </c>
      <c r="AH593" t="str">
        <f t="shared" si="97"/>
        <v>Eco Copiers 324</v>
      </c>
      <c r="AI593" t="str">
        <f t="shared" si="98"/>
        <v>First Class</v>
      </c>
      <c r="AJ593" s="3" t="str">
        <f t="shared" si="99"/>
        <v>anomaly</v>
      </c>
      <c r="AK593">
        <f t="shared" si="100"/>
        <v>2</v>
      </c>
    </row>
    <row r="594" spans="1:37">
      <c r="A594" t="s">
        <v>2832</v>
      </c>
      <c r="B594" t="s">
        <v>838</v>
      </c>
      <c r="C594" t="s">
        <v>896</v>
      </c>
      <c r="D594" t="s">
        <v>2833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2834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  <c r="W594" t="s">
        <v>2832</v>
      </c>
      <c r="X594" t="str">
        <v>04-03-24</v>
      </c>
      <c r="Y594" t="str">
        <v>09-03-24</v>
      </c>
      <c r="Z594" t="s">
        <v>2833</v>
      </c>
      <c r="AA594" t="str">
        <v>Mira Das</v>
      </c>
      <c r="AB594" t="str">
        <f t="shared" si="91"/>
        <v>Consumer</v>
      </c>
      <c r="AC594" t="str">
        <f t="shared" si="92"/>
        <v>East</v>
      </c>
      <c r="AD594" t="str">
        <f t="shared" si="93"/>
        <v>West Bengal</v>
      </c>
      <c r="AE594" t="str">
        <f t="shared" si="94"/>
        <v>Kolkata</v>
      </c>
      <c r="AF594" t="str">
        <f t="shared" si="95"/>
        <v>Technology</v>
      </c>
      <c r="AG594" t="str">
        <f t="shared" si="96"/>
        <v>Accessories</v>
      </c>
      <c r="AH594" t="str">
        <f t="shared" si="97"/>
        <v>Classic Accessories 131</v>
      </c>
      <c r="AI594" t="str">
        <f t="shared" si="98"/>
        <v>Same Day</v>
      </c>
      <c r="AJ594" s="3" t="str">
        <f t="shared" si="99"/>
        <v>anomaly</v>
      </c>
      <c r="AK594">
        <f t="shared" si="100"/>
        <v>5</v>
      </c>
    </row>
    <row r="595" spans="1:37">
      <c r="A595" t="s">
        <v>2835</v>
      </c>
      <c r="B595" t="s">
        <v>1356</v>
      </c>
      <c r="C595" t="s">
        <v>2836</v>
      </c>
      <c r="D595" t="s">
        <v>2527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2837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  <c r="W595" t="s">
        <v>2835</v>
      </c>
      <c r="X595" t="str">
        <v>invalid date</v>
      </c>
      <c r="Y595" t="str">
        <v>29-09-25</v>
      </c>
      <c r="Z595" t="s">
        <v>2527</v>
      </c>
      <c r="AA595" t="str">
        <v>Arjun Bose</v>
      </c>
      <c r="AB595" t="str">
        <f t="shared" si="91"/>
        <v>Home Office</v>
      </c>
      <c r="AC595" t="str">
        <f t="shared" si="92"/>
        <v>North</v>
      </c>
      <c r="AD595" t="str">
        <f t="shared" si="93"/>
        <v>Uttar Pradesh</v>
      </c>
      <c r="AE595" t="str">
        <f t="shared" si="94"/>
        <v>Noida</v>
      </c>
      <c r="AF595" t="str">
        <f t="shared" si="95"/>
        <v>Furniture</v>
      </c>
      <c r="AG595" t="str">
        <f t="shared" si="96"/>
        <v>Tables</v>
      </c>
      <c r="AH595" t="str">
        <f t="shared" si="97"/>
        <v>Eco Tables 550</v>
      </c>
      <c r="AI595" t="str">
        <f t="shared" si="98"/>
        <v>Second Class</v>
      </c>
      <c r="AJ595" s="3" t="str">
        <f t="shared" si="99"/>
        <v>Invalid</v>
      </c>
      <c r="AK595" t="str">
        <f t="shared" si="100"/>
        <v>invalid date</v>
      </c>
    </row>
    <row r="596" spans="1:37">
      <c r="A596" t="s">
        <v>2838</v>
      </c>
      <c r="B596" t="s">
        <v>2839</v>
      </c>
      <c r="C596" t="s">
        <v>1134</v>
      </c>
      <c r="D596" t="s">
        <v>2840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2841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  <c r="W596" t="s">
        <v>2838</v>
      </c>
      <c r="X596" t="str">
        <v>19-09-24</v>
      </c>
      <c r="Y596" t="str">
        <v>21-09-24</v>
      </c>
      <c r="Z596" t="s">
        <v>2840</v>
      </c>
      <c r="AA596" t="str">
        <v>Karan Malhotra</v>
      </c>
      <c r="AB596" t="str">
        <f t="shared" si="91"/>
        <v>Small Business</v>
      </c>
      <c r="AC596" t="str">
        <f t="shared" si="92"/>
        <v>East</v>
      </c>
      <c r="AD596" t="str">
        <f t="shared" si="93"/>
        <v>West Bengal</v>
      </c>
      <c r="AE596" t="str">
        <f t="shared" si="94"/>
        <v>Kolkata</v>
      </c>
      <c r="AF596" t="str">
        <f t="shared" si="95"/>
        <v>Furniture</v>
      </c>
      <c r="AG596" t="str">
        <f t="shared" si="96"/>
        <v>Chairs</v>
      </c>
      <c r="AH596" t="str">
        <f t="shared" si="97"/>
        <v>Basic Chairs 932</v>
      </c>
      <c r="AI596" t="str">
        <f t="shared" si="98"/>
        <v>First Class</v>
      </c>
      <c r="AJ596" s="3" t="str">
        <f t="shared" si="99"/>
        <v>anomaly</v>
      </c>
      <c r="AK596">
        <f t="shared" si="100"/>
        <v>2</v>
      </c>
    </row>
    <row r="597" spans="1:37">
      <c r="A597" t="s">
        <v>2842</v>
      </c>
      <c r="B597" t="s">
        <v>2843</v>
      </c>
      <c r="C597" t="s">
        <v>2844</v>
      </c>
      <c r="D597" t="s">
        <v>2845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2846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  <c r="W597" t="s">
        <v>2842</v>
      </c>
      <c r="X597" t="str">
        <v>02-11-25</v>
      </c>
      <c r="Y597" t="str">
        <v>16-02-25</v>
      </c>
      <c r="Z597" t="s">
        <v>2845</v>
      </c>
      <c r="AA597" t="str">
        <v>Mira Das</v>
      </c>
      <c r="AB597" t="str">
        <f t="shared" si="91"/>
        <v>Corporate</v>
      </c>
      <c r="AC597" t="str">
        <f t="shared" si="92"/>
        <v>North</v>
      </c>
      <c r="AD597" t="str">
        <f t="shared" si="93"/>
        <v>Uttar Pradesh</v>
      </c>
      <c r="AE597" t="str">
        <f t="shared" si="94"/>
        <v>Noida</v>
      </c>
      <c r="AF597" t="str">
        <f t="shared" si="95"/>
        <v>Technology</v>
      </c>
      <c r="AG597" t="str">
        <f t="shared" si="96"/>
        <v>Phones</v>
      </c>
      <c r="AH597" t="str">
        <f t="shared" si="97"/>
        <v>Classic Phones 294</v>
      </c>
      <c r="AI597" t="str">
        <f t="shared" si="98"/>
        <v>First Class</v>
      </c>
      <c r="AJ597" s="3" t="str">
        <f t="shared" si="99"/>
        <v>anomaly</v>
      </c>
      <c r="AK597">
        <f t="shared" si="100"/>
        <v>-259</v>
      </c>
    </row>
    <row r="598" spans="1:37">
      <c r="A598" t="s">
        <v>2847</v>
      </c>
      <c r="B598" t="s">
        <v>1438</v>
      </c>
      <c r="C598" t="s">
        <v>411</v>
      </c>
      <c r="D598" t="s">
        <v>2848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2849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  <c r="W598" t="s">
        <v>2847</v>
      </c>
      <c r="X598" t="str">
        <v>10-04-24</v>
      </c>
      <c r="Y598" t="str">
        <v>invalid date</v>
      </c>
      <c r="Z598" t="s">
        <v>2848</v>
      </c>
      <c r="AA598" t="str">
        <v>Aditi Sen</v>
      </c>
      <c r="AB598" t="str">
        <f t="shared" si="91"/>
        <v>Consumer</v>
      </c>
      <c r="AC598" t="str">
        <f t="shared" si="92"/>
        <v>South</v>
      </c>
      <c r="AD598" t="str">
        <f t="shared" si="93"/>
        <v>Kerala</v>
      </c>
      <c r="AE598" t="str">
        <f t="shared" si="94"/>
        <v>Kochi</v>
      </c>
      <c r="AF598" t="str">
        <f t="shared" si="95"/>
        <v>Furniture</v>
      </c>
      <c r="AG598" t="str">
        <f t="shared" si="96"/>
        <v>Chairs</v>
      </c>
      <c r="AH598" t="str">
        <f t="shared" si="97"/>
        <v>Elite Chairs 700</v>
      </c>
      <c r="AI598" t="str">
        <f t="shared" si="98"/>
        <v>Second Class</v>
      </c>
      <c r="AJ598" s="3" t="str">
        <f t="shared" si="99"/>
        <v>Invalid</v>
      </c>
      <c r="AK598" t="str">
        <f t="shared" si="100"/>
        <v>invalid date</v>
      </c>
    </row>
    <row r="599" spans="1:37">
      <c r="A599" t="s">
        <v>2850</v>
      </c>
      <c r="B599" t="s">
        <v>2851</v>
      </c>
      <c r="C599" t="s">
        <v>488</v>
      </c>
      <c r="D599" t="s">
        <v>2852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2853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  <c r="W599" t="s">
        <v>2850</v>
      </c>
      <c r="X599" t="str">
        <v>08-07-25</v>
      </c>
      <c r="Y599" t="str">
        <v>07-08-25</v>
      </c>
      <c r="Z599" t="s">
        <v>2852</v>
      </c>
      <c r="AA599" t="str">
        <v>Aditi Sen</v>
      </c>
      <c r="AB599" t="str">
        <f t="shared" si="91"/>
        <v>Consumer</v>
      </c>
      <c r="AC599" t="str">
        <f t="shared" si="92"/>
        <v>South</v>
      </c>
      <c r="AD599" t="str">
        <f t="shared" si="93"/>
        <v>Telangana</v>
      </c>
      <c r="AE599" t="str">
        <f t="shared" si="94"/>
        <v>Hyderabad</v>
      </c>
      <c r="AF599" t="str">
        <f t="shared" si="95"/>
        <v>Technology</v>
      </c>
      <c r="AG599" t="str">
        <f t="shared" si="96"/>
        <v>Copiers</v>
      </c>
      <c r="AH599" t="str">
        <f t="shared" si="97"/>
        <v>Prime Copiers 969</v>
      </c>
      <c r="AI599" t="str">
        <f t="shared" si="98"/>
        <v>Same Day</v>
      </c>
      <c r="AJ599" s="3" t="str">
        <f t="shared" si="99"/>
        <v xml:space="preserve">  </v>
      </c>
      <c r="AK599">
        <f t="shared" si="100"/>
        <v>30</v>
      </c>
    </row>
    <row r="600" spans="1:37">
      <c r="A600" t="s">
        <v>2854</v>
      </c>
      <c r="B600" t="s">
        <v>2437</v>
      </c>
      <c r="C600" t="s">
        <v>2855</v>
      </c>
      <c r="D600" t="s">
        <v>2856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2857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  <c r="W600" t="s">
        <v>2854</v>
      </c>
      <c r="X600" t="str">
        <v>invalid date</v>
      </c>
      <c r="Y600" t="str">
        <v>invalid date</v>
      </c>
      <c r="Z600" t="s">
        <v>2856</v>
      </c>
      <c r="AA600" t="str">
        <v>Ananya Rao</v>
      </c>
      <c r="AB600" t="str">
        <f t="shared" si="91"/>
        <v>Corporate</v>
      </c>
      <c r="AC600" t="str">
        <f t="shared" si="92"/>
        <v>East</v>
      </c>
      <c r="AD600" t="str">
        <f t="shared" si="93"/>
        <v>West Bengal</v>
      </c>
      <c r="AE600" t="str">
        <f t="shared" si="94"/>
        <v>Kolkata</v>
      </c>
      <c r="AF600" t="str">
        <f t="shared" si="95"/>
        <v>Technology</v>
      </c>
      <c r="AG600" t="str">
        <f t="shared" si="96"/>
        <v>Copiers</v>
      </c>
      <c r="AH600" t="str">
        <f t="shared" si="97"/>
        <v>Eco Copiers 268</v>
      </c>
      <c r="AI600" t="str">
        <f t="shared" si="98"/>
        <v>Same Day</v>
      </c>
      <c r="AJ600" s="3" t="str">
        <f t="shared" si="99"/>
        <v>Invalid</v>
      </c>
      <c r="AK600" t="str">
        <f t="shared" si="100"/>
        <v>invalid date</v>
      </c>
    </row>
    <row r="601" spans="1:37">
      <c r="A601" t="s">
        <v>2858</v>
      </c>
      <c r="B601" t="s">
        <v>2859</v>
      </c>
      <c r="C601" t="s">
        <v>1624</v>
      </c>
      <c r="D601" t="s">
        <v>2860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2861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  <c r="W601" t="s">
        <v>2858</v>
      </c>
      <c r="X601" t="str">
        <v>19-08-24</v>
      </c>
      <c r="Y601" t="str">
        <v>21-08-24</v>
      </c>
      <c r="Z601" t="s">
        <v>2860</v>
      </c>
      <c r="AA601" t="str">
        <v>Arjun Bose</v>
      </c>
      <c r="AB601" t="str">
        <f t="shared" si="91"/>
        <v>Consumer</v>
      </c>
      <c r="AC601" t="str">
        <f t="shared" si="92"/>
        <v>North</v>
      </c>
      <c r="AD601" t="str">
        <f t="shared" si="93"/>
        <v>Punjab</v>
      </c>
      <c r="AE601" t="str">
        <f t="shared" si="94"/>
        <v>Ludhiana</v>
      </c>
      <c r="AF601" t="str">
        <f t="shared" si="95"/>
        <v>Technology</v>
      </c>
      <c r="AG601" t="str">
        <f t="shared" si="96"/>
        <v>Phones</v>
      </c>
      <c r="AH601" t="str">
        <f t="shared" si="97"/>
        <v>Pro Phones 588</v>
      </c>
      <c r="AI601" t="str">
        <f t="shared" si="98"/>
        <v>First Class</v>
      </c>
      <c r="AJ601" s="3" t="str">
        <f t="shared" si="99"/>
        <v>anomaly</v>
      </c>
      <c r="AK601">
        <f t="shared" si="100"/>
        <v>2</v>
      </c>
    </row>
    <row r="602" spans="1:37">
      <c r="A602" t="s">
        <v>2862</v>
      </c>
      <c r="B602" t="s">
        <v>2863</v>
      </c>
      <c r="C602" t="s">
        <v>2864</v>
      </c>
      <c r="D602" t="s">
        <v>2865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2866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  <c r="W602" t="s">
        <v>2862</v>
      </c>
      <c r="X602" t="str">
        <v>05-03-25</v>
      </c>
      <c r="Y602" t="str">
        <v>12-03-25</v>
      </c>
      <c r="Z602" t="s">
        <v>2865</v>
      </c>
      <c r="AA602" t="str">
        <v>Ananya Rao</v>
      </c>
      <c r="AB602" t="str">
        <f t="shared" si="91"/>
        <v>Corporate</v>
      </c>
      <c r="AC602" t="str">
        <f t="shared" si="92"/>
        <v>West</v>
      </c>
      <c r="AD602" t="str">
        <f t="shared" si="93"/>
        <v>Madhya Pradesh</v>
      </c>
      <c r="AE602" t="str">
        <f t="shared" si="94"/>
        <v>Indore</v>
      </c>
      <c r="AF602" t="str">
        <f t="shared" si="95"/>
        <v>Office Supplies</v>
      </c>
      <c r="AG602" t="str">
        <f t="shared" si="96"/>
        <v>Storage</v>
      </c>
      <c r="AH602" t="str">
        <f t="shared" si="97"/>
        <v>Prime Storage 432</v>
      </c>
      <c r="AI602" t="str">
        <f t="shared" si="98"/>
        <v>Same Day</v>
      </c>
      <c r="AJ602" s="3" t="str">
        <f t="shared" si="99"/>
        <v>anomaly</v>
      </c>
      <c r="AK602">
        <f t="shared" si="100"/>
        <v>7</v>
      </c>
    </row>
    <row r="603" spans="1:37">
      <c r="A603" t="s">
        <v>2867</v>
      </c>
      <c r="B603" t="s">
        <v>2868</v>
      </c>
      <c r="C603" t="s">
        <v>2869</v>
      </c>
      <c r="D603" t="s">
        <v>2870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2871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  <c r="W603" t="s">
        <v>2867</v>
      </c>
      <c r="X603" t="str">
        <v>26-01-24</v>
      </c>
      <c r="Y603" t="str">
        <v>invalid date</v>
      </c>
      <c r="Z603" t="s">
        <v>2870</v>
      </c>
      <c r="AA603" t="str">
        <v>Ananya Rao</v>
      </c>
      <c r="AB603" t="str">
        <f t="shared" si="91"/>
        <v>Home Office</v>
      </c>
      <c r="AC603" t="str">
        <f t="shared" si="92"/>
        <v>East</v>
      </c>
      <c r="AD603" t="str">
        <f t="shared" si="93"/>
        <v>West Bengal</v>
      </c>
      <c r="AE603" t="str">
        <f t="shared" si="94"/>
        <v>Kolkata</v>
      </c>
      <c r="AF603" t="str">
        <f t="shared" si="95"/>
        <v>Office Supplies</v>
      </c>
      <c r="AG603" t="str">
        <f t="shared" si="96"/>
        <v>Paper</v>
      </c>
      <c r="AH603" t="str">
        <f t="shared" si="97"/>
        <v>Basic Paper 452</v>
      </c>
      <c r="AI603" t="str">
        <f t="shared" si="98"/>
        <v>Second Class</v>
      </c>
      <c r="AJ603" s="3" t="str">
        <f t="shared" si="99"/>
        <v>Invalid</v>
      </c>
      <c r="AK603" t="str">
        <f t="shared" si="100"/>
        <v>invalid date</v>
      </c>
    </row>
    <row r="604" spans="1:37">
      <c r="A604" t="s">
        <v>2872</v>
      </c>
      <c r="B604" t="s">
        <v>2873</v>
      </c>
      <c r="C604" t="s">
        <v>2874</v>
      </c>
      <c r="D604" t="s">
        <v>2875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2876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  <c r="W604" t="s">
        <v>2872</v>
      </c>
      <c r="X604" t="str">
        <v>23-10-24</v>
      </c>
      <c r="Y604" t="str">
        <v>30-10-24</v>
      </c>
      <c r="Z604" t="s">
        <v>2875</v>
      </c>
      <c r="AA604" t="str">
        <v>Aarav Sharma</v>
      </c>
      <c r="AB604" t="str">
        <f t="shared" si="91"/>
        <v>Consumer</v>
      </c>
      <c r="AC604" t="str">
        <f t="shared" si="92"/>
        <v>East</v>
      </c>
      <c r="AD604" t="str">
        <f t="shared" si="93"/>
        <v>Jharkhand</v>
      </c>
      <c r="AE604" t="str">
        <f t="shared" si="94"/>
        <v>Ranchi</v>
      </c>
      <c r="AF604" t="str">
        <f t="shared" si="95"/>
        <v>Technology</v>
      </c>
      <c r="AG604" t="str">
        <f t="shared" si="96"/>
        <v>Copiers</v>
      </c>
      <c r="AH604" t="str">
        <f t="shared" si="97"/>
        <v>Max Copiers 477</v>
      </c>
      <c r="AI604" t="str">
        <f t="shared" si="98"/>
        <v>Second Class</v>
      </c>
      <c r="AJ604" s="3" t="str">
        <f t="shared" si="99"/>
        <v>anomaly</v>
      </c>
      <c r="AK604">
        <f t="shared" si="100"/>
        <v>7</v>
      </c>
    </row>
    <row r="605" spans="1:37">
      <c r="A605" t="s">
        <v>2877</v>
      </c>
      <c r="B605" t="s">
        <v>2878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2879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  <c r="W605" t="s">
        <v>2877</v>
      </c>
      <c r="X605" t="str">
        <v>01-03-25</v>
      </c>
      <c r="Y605" t="str">
        <v>11-01-25</v>
      </c>
      <c r="Z605" t="s">
        <v>480</v>
      </c>
      <c r="AA605" t="str">
        <v>Vikram Iyer</v>
      </c>
      <c r="AB605" t="str">
        <f t="shared" si="91"/>
        <v>Corporate</v>
      </c>
      <c r="AC605" t="str">
        <f t="shared" si="92"/>
        <v>East</v>
      </c>
      <c r="AD605" t="str">
        <f t="shared" si="93"/>
        <v>Bihar</v>
      </c>
      <c r="AE605" t="str">
        <f t="shared" si="94"/>
        <v>Patna</v>
      </c>
      <c r="AF605" t="str">
        <f t="shared" si="95"/>
        <v>Technology</v>
      </c>
      <c r="AG605" t="str">
        <f t="shared" si="96"/>
        <v>Accessories</v>
      </c>
      <c r="AH605" t="str">
        <f t="shared" si="97"/>
        <v>Prime Accessories 300</v>
      </c>
      <c r="AI605" t="str">
        <f t="shared" si="98"/>
        <v>First Class</v>
      </c>
      <c r="AJ605" s="3" t="str">
        <f t="shared" si="99"/>
        <v>anomaly</v>
      </c>
      <c r="AK605">
        <f t="shared" si="100"/>
        <v>-49</v>
      </c>
    </row>
    <row r="606" spans="1:37">
      <c r="A606" t="s">
        <v>2880</v>
      </c>
      <c r="B606" t="s">
        <v>2881</v>
      </c>
      <c r="C606" t="s">
        <v>2882</v>
      </c>
      <c r="D606" t="s">
        <v>2883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2884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  <c r="W606" t="s">
        <v>2880</v>
      </c>
      <c r="X606" t="str">
        <v>05-02-25</v>
      </c>
      <c r="Y606" t="str">
        <v>02-06-25</v>
      </c>
      <c r="Z606" t="s">
        <v>2883</v>
      </c>
      <c r="AA606" t="str">
        <v>Ananya Rao</v>
      </c>
      <c r="AB606" t="str">
        <f t="shared" si="91"/>
        <v>Consumer</v>
      </c>
      <c r="AC606" t="str">
        <f t="shared" si="92"/>
        <v>West</v>
      </c>
      <c r="AD606" t="str">
        <f t="shared" si="93"/>
        <v>Madhya Pradesh</v>
      </c>
      <c r="AE606" t="str">
        <f t="shared" si="94"/>
        <v>Indore</v>
      </c>
      <c r="AF606" t="str">
        <f t="shared" si="95"/>
        <v>Office Supplies</v>
      </c>
      <c r="AG606" t="str">
        <f t="shared" si="96"/>
        <v>Binders</v>
      </c>
      <c r="AH606" t="str">
        <f t="shared" si="97"/>
        <v>Max Binders 547</v>
      </c>
      <c r="AI606" t="str">
        <f t="shared" si="98"/>
        <v>Same Day</v>
      </c>
      <c r="AJ606" s="3" t="str">
        <f t="shared" si="99"/>
        <v xml:space="preserve">  </v>
      </c>
      <c r="AK606">
        <f t="shared" si="100"/>
        <v>117</v>
      </c>
    </row>
    <row r="607" spans="1:37">
      <c r="A607" t="s">
        <v>2885</v>
      </c>
      <c r="B607" t="s">
        <v>2611</v>
      </c>
      <c r="C607" t="s">
        <v>2886</v>
      </c>
      <c r="D607" t="s">
        <v>2887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2888</v>
      </c>
      <c r="M607" t="s">
        <v>33</v>
      </c>
      <c r="N607">
        <v>5</v>
      </c>
      <c r="O607">
        <v>1680.01</v>
      </c>
      <c r="P607" s="6" t="s">
        <v>4117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  <c r="W607" t="s">
        <v>2885</v>
      </c>
      <c r="X607" t="str">
        <v>09-07-25</v>
      </c>
      <c r="Y607" t="str">
        <v>13-07-25</v>
      </c>
      <c r="Z607" t="s">
        <v>2887</v>
      </c>
      <c r="AA607" t="str">
        <v>Kabir Singh</v>
      </c>
      <c r="AB607" t="str">
        <f t="shared" si="91"/>
        <v>Corporate</v>
      </c>
      <c r="AC607" t="str">
        <f t="shared" si="92"/>
        <v>West</v>
      </c>
      <c r="AD607" t="str">
        <f t="shared" si="93"/>
        <v>Goa</v>
      </c>
      <c r="AE607" t="str">
        <f t="shared" si="94"/>
        <v>Panaji</v>
      </c>
      <c r="AF607" t="str">
        <f t="shared" si="95"/>
        <v>Furniture</v>
      </c>
      <c r="AG607" t="str">
        <f t="shared" si="96"/>
        <v>Furnishings</v>
      </c>
      <c r="AH607" t="str">
        <f t="shared" si="97"/>
        <v>Pro Furnishings 267</v>
      </c>
      <c r="AI607" t="str">
        <f t="shared" si="98"/>
        <v>Second Class</v>
      </c>
      <c r="AJ607" s="3" t="str">
        <f t="shared" si="99"/>
        <v>anomaly</v>
      </c>
      <c r="AK607">
        <f t="shared" si="100"/>
        <v>4</v>
      </c>
    </row>
    <row r="608" spans="1:37">
      <c r="A608" t="s">
        <v>2889</v>
      </c>
      <c r="B608" t="s">
        <v>2890</v>
      </c>
      <c r="C608" t="s">
        <v>2526</v>
      </c>
      <c r="D608" t="s">
        <v>2891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2892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  <c r="W608" t="s">
        <v>2889</v>
      </c>
      <c r="X608" t="str">
        <v>22-02-25</v>
      </c>
      <c r="Y608" t="str">
        <v>invalid date</v>
      </c>
      <c r="Z608" t="s">
        <v>2891</v>
      </c>
      <c r="AA608" t="str">
        <v>Rahul Verma</v>
      </c>
      <c r="AB608" t="str">
        <f t="shared" si="91"/>
        <v>Home Office</v>
      </c>
      <c r="AC608" t="str">
        <f t="shared" si="92"/>
        <v>West</v>
      </c>
      <c r="AD608" t="str">
        <f t="shared" si="93"/>
        <v>Madhya Pradesh</v>
      </c>
      <c r="AE608" t="str">
        <f t="shared" si="94"/>
        <v>Indore</v>
      </c>
      <c r="AF608" t="str">
        <f t="shared" si="95"/>
        <v>Technology</v>
      </c>
      <c r="AG608" t="str">
        <f t="shared" si="96"/>
        <v>Copiers</v>
      </c>
      <c r="AH608" t="str">
        <f t="shared" si="97"/>
        <v>Max Copiers 520</v>
      </c>
      <c r="AI608" t="str">
        <f t="shared" si="98"/>
        <v>Same Day</v>
      </c>
      <c r="AJ608" s="3" t="str">
        <f t="shared" si="99"/>
        <v>Invalid</v>
      </c>
      <c r="AK608" t="str">
        <f t="shared" si="100"/>
        <v>invalid date</v>
      </c>
    </row>
    <row r="609" spans="1:37">
      <c r="A609" t="s">
        <v>2893</v>
      </c>
      <c r="B609" t="s">
        <v>2844</v>
      </c>
      <c r="C609" t="s">
        <v>2890</v>
      </c>
      <c r="D609" t="s">
        <v>2894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2895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  <c r="W609" t="s">
        <v>2893</v>
      </c>
      <c r="X609" t="str">
        <v>16-02-25</v>
      </c>
      <c r="Y609" t="str">
        <v>22-02-25</v>
      </c>
      <c r="Z609" t="s">
        <v>2894</v>
      </c>
      <c r="AA609" t="str">
        <v>Sneha Kapoor</v>
      </c>
      <c r="AB609" t="str">
        <f t="shared" si="91"/>
        <v>Home Office</v>
      </c>
      <c r="AC609" t="str">
        <f t="shared" si="92"/>
        <v>East</v>
      </c>
      <c r="AD609" t="str">
        <f t="shared" si="93"/>
        <v>Bihar</v>
      </c>
      <c r="AE609" t="str">
        <f t="shared" si="94"/>
        <v>Patna</v>
      </c>
      <c r="AF609" t="str">
        <f t="shared" si="95"/>
        <v>Office Supplies</v>
      </c>
      <c r="AG609" t="str">
        <f t="shared" si="96"/>
        <v>Storage</v>
      </c>
      <c r="AH609" t="str">
        <f t="shared" si="97"/>
        <v>Max Storage 424</v>
      </c>
      <c r="AI609" t="str">
        <f t="shared" si="98"/>
        <v>Same Day</v>
      </c>
      <c r="AJ609" s="3" t="str">
        <f t="shared" si="99"/>
        <v>anomaly</v>
      </c>
      <c r="AK609">
        <f t="shared" si="100"/>
        <v>6</v>
      </c>
    </row>
    <row r="610" spans="1:37">
      <c r="A610" t="s">
        <v>2896</v>
      </c>
      <c r="B610" t="s">
        <v>2150</v>
      </c>
      <c r="C610" t="s">
        <v>1551</v>
      </c>
      <c r="D610" t="s">
        <v>2572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2897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  <c r="W610" t="s">
        <v>2896</v>
      </c>
      <c r="X610" t="str">
        <v>21-06-24</v>
      </c>
      <c r="Y610" t="str">
        <v>23-06-24</v>
      </c>
      <c r="Z610" t="s">
        <v>2572</v>
      </c>
      <c r="AA610" t="str">
        <v>Karan Malhotra</v>
      </c>
      <c r="AB610" t="str">
        <f t="shared" si="91"/>
        <v>Home Office</v>
      </c>
      <c r="AC610" t="str">
        <f t="shared" si="92"/>
        <v>West</v>
      </c>
      <c r="AD610" t="str">
        <f t="shared" si="93"/>
        <v>Goa</v>
      </c>
      <c r="AE610" t="str">
        <f t="shared" si="94"/>
        <v>Panaji</v>
      </c>
      <c r="AF610" t="str">
        <f t="shared" si="95"/>
        <v>Furniture</v>
      </c>
      <c r="AG610" t="str">
        <f t="shared" si="96"/>
        <v>Furnishings</v>
      </c>
      <c r="AH610" t="str">
        <f t="shared" si="97"/>
        <v>Elite Furnishings 706</v>
      </c>
      <c r="AI610" t="str">
        <f t="shared" si="98"/>
        <v>Second Class</v>
      </c>
      <c r="AJ610" s="3" t="str">
        <f t="shared" si="99"/>
        <v>anomaly</v>
      </c>
      <c r="AK610">
        <f t="shared" si="100"/>
        <v>2</v>
      </c>
    </row>
    <row r="611" spans="1:37">
      <c r="A611" t="s">
        <v>2898</v>
      </c>
      <c r="B611" t="s">
        <v>2053</v>
      </c>
      <c r="C611" t="s">
        <v>1174</v>
      </c>
      <c r="D611" t="s">
        <v>2899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2900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  <c r="W611" t="s">
        <v>2898</v>
      </c>
      <c r="X611" t="str">
        <v>08-01-25</v>
      </c>
      <c r="Y611" t="str">
        <v>12-01-25</v>
      </c>
      <c r="Z611" t="s">
        <v>2899</v>
      </c>
      <c r="AA611" t="str">
        <v>Sneha Kapoor</v>
      </c>
      <c r="AB611" t="str">
        <f t="shared" si="91"/>
        <v>Home Office</v>
      </c>
      <c r="AC611" t="str">
        <f t="shared" si="92"/>
        <v>South</v>
      </c>
      <c r="AD611" t="str">
        <f t="shared" si="93"/>
        <v>Karnataka</v>
      </c>
      <c r="AE611" t="str">
        <f t="shared" si="94"/>
        <v>Bengaluru</v>
      </c>
      <c r="AF611" t="str">
        <f t="shared" si="95"/>
        <v>Furniture</v>
      </c>
      <c r="AG611" t="str">
        <f t="shared" si="96"/>
        <v>Chairs</v>
      </c>
      <c r="AH611" t="str">
        <f t="shared" si="97"/>
        <v>Pro Chairs 908</v>
      </c>
      <c r="AI611" t="str">
        <f t="shared" si="98"/>
        <v>Standard Class</v>
      </c>
      <c r="AJ611" s="3" t="str">
        <f t="shared" si="99"/>
        <v>anomaly</v>
      </c>
      <c r="AK611">
        <f t="shared" si="100"/>
        <v>4</v>
      </c>
    </row>
    <row r="612" spans="1:37">
      <c r="A612" t="s">
        <v>2901</v>
      </c>
      <c r="B612" t="s">
        <v>2902</v>
      </c>
      <c r="C612" t="s">
        <v>2903</v>
      </c>
      <c r="D612" t="s">
        <v>2078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2904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  <c r="W612" t="s">
        <v>2901</v>
      </c>
      <c r="X612" t="str">
        <v>20-05-24</v>
      </c>
      <c r="Y612" t="str">
        <v>invalid date</v>
      </c>
      <c r="Z612" t="s">
        <v>2078</v>
      </c>
      <c r="AA612" t="str">
        <v>Karan Malhotra</v>
      </c>
      <c r="AB612" t="str">
        <f t="shared" si="91"/>
        <v>Home Office</v>
      </c>
      <c r="AC612" t="str">
        <f t="shared" si="92"/>
        <v>West</v>
      </c>
      <c r="AD612" t="str">
        <f t="shared" si="93"/>
        <v>Madhya Pradesh</v>
      </c>
      <c r="AE612" t="str">
        <f t="shared" si="94"/>
        <v>Indore</v>
      </c>
      <c r="AF612" t="str">
        <f t="shared" si="95"/>
        <v>Furniture</v>
      </c>
      <c r="AG612" t="str">
        <f t="shared" si="96"/>
        <v>Chairs</v>
      </c>
      <c r="AH612" t="str">
        <f t="shared" si="97"/>
        <v>Pro Chairs 712</v>
      </c>
      <c r="AI612" t="str">
        <f t="shared" si="98"/>
        <v>Standard Class</v>
      </c>
      <c r="AJ612" s="3" t="str">
        <f t="shared" si="99"/>
        <v>Invalid</v>
      </c>
      <c r="AK612" t="str">
        <f t="shared" si="100"/>
        <v>invalid date</v>
      </c>
    </row>
    <row r="613" spans="1:37">
      <c r="A613" t="s">
        <v>2905</v>
      </c>
      <c r="B613" t="s">
        <v>2610</v>
      </c>
      <c r="C613" t="s">
        <v>2906</v>
      </c>
      <c r="D613" t="s">
        <v>2907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2908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  <c r="W613" t="s">
        <v>2905</v>
      </c>
      <c r="X613" t="str">
        <v>08-07-25</v>
      </c>
      <c r="Y613" t="str">
        <v>15-07-25</v>
      </c>
      <c r="Z613" t="s">
        <v>2907</v>
      </c>
      <c r="AA613" t="str">
        <v>Ananya Rao</v>
      </c>
      <c r="AB613" t="str">
        <f t="shared" si="91"/>
        <v>Small Business</v>
      </c>
      <c r="AC613" t="str">
        <f t="shared" si="92"/>
        <v>North</v>
      </c>
      <c r="AD613" t="str">
        <f t="shared" si="93"/>
        <v>Rajasthan</v>
      </c>
      <c r="AE613" t="str">
        <f t="shared" si="94"/>
        <v>Jaipur</v>
      </c>
      <c r="AF613" t="str">
        <f t="shared" si="95"/>
        <v>Office Supplies</v>
      </c>
      <c r="AG613" t="str">
        <f t="shared" si="96"/>
        <v>Binders</v>
      </c>
      <c r="AH613" t="str">
        <f t="shared" si="97"/>
        <v>Max Binders 785</v>
      </c>
      <c r="AI613" t="str">
        <f t="shared" si="98"/>
        <v>Same Day</v>
      </c>
      <c r="AJ613" s="3" t="str">
        <f t="shared" si="99"/>
        <v>anomaly</v>
      </c>
      <c r="AK613">
        <f t="shared" si="100"/>
        <v>7</v>
      </c>
    </row>
    <row r="614" spans="1:37">
      <c r="A614" t="s">
        <v>2909</v>
      </c>
      <c r="B614" t="s">
        <v>2910</v>
      </c>
      <c r="C614" t="s">
        <v>2911</v>
      </c>
      <c r="D614" t="s">
        <v>2912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2913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  <c r="W614" t="s">
        <v>2909</v>
      </c>
      <c r="X614" t="str">
        <v>06-04-25</v>
      </c>
      <c r="Y614" t="str">
        <v>13-04-25</v>
      </c>
      <c r="Z614" t="s">
        <v>2912</v>
      </c>
      <c r="AA614" t="str">
        <v>Aditi Sen</v>
      </c>
      <c r="AB614" t="str">
        <f t="shared" si="91"/>
        <v>Consumer</v>
      </c>
      <c r="AC614" s="5" t="s">
        <v>4116</v>
      </c>
      <c r="AD614" t="str">
        <f t="shared" si="93"/>
        <v>Odisha</v>
      </c>
      <c r="AE614" t="str">
        <f t="shared" si="94"/>
        <v>Bhubaneswar</v>
      </c>
      <c r="AF614" t="str">
        <f t="shared" si="95"/>
        <v>Technology</v>
      </c>
      <c r="AG614" t="str">
        <f t="shared" si="96"/>
        <v>Phones</v>
      </c>
      <c r="AH614" t="str">
        <f t="shared" si="97"/>
        <v>Elite Phones 239</v>
      </c>
      <c r="AI614" t="str">
        <f t="shared" si="98"/>
        <v>Standard Class</v>
      </c>
      <c r="AJ614" s="3" t="str">
        <f t="shared" si="99"/>
        <v>anomaly</v>
      </c>
      <c r="AK614">
        <f t="shared" si="100"/>
        <v>7</v>
      </c>
    </row>
    <row r="615" spans="1:37">
      <c r="A615" t="s">
        <v>2914</v>
      </c>
      <c r="B615" t="s">
        <v>2446</v>
      </c>
      <c r="C615" t="s">
        <v>2915</v>
      </c>
      <c r="D615" t="s">
        <v>2916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2917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  <c r="W615" t="s">
        <v>2914</v>
      </c>
      <c r="X615" t="str">
        <v>05-10-24</v>
      </c>
      <c r="Y615" t="str">
        <v>10-10-24</v>
      </c>
      <c r="Z615" t="s">
        <v>2916</v>
      </c>
      <c r="AA615" t="str">
        <v>Diya Patel</v>
      </c>
      <c r="AB615" t="str">
        <f t="shared" si="91"/>
        <v>Home Office</v>
      </c>
      <c r="AC615" t="str">
        <f t="shared" si="92"/>
        <v>West</v>
      </c>
      <c r="AD615" t="str">
        <f t="shared" si="93"/>
        <v>Gujarat</v>
      </c>
      <c r="AE615" t="str">
        <f t="shared" si="94"/>
        <v>Ahmedabad</v>
      </c>
      <c r="AF615" t="str">
        <f t="shared" si="95"/>
        <v>Technology</v>
      </c>
      <c r="AG615" t="str">
        <f t="shared" si="96"/>
        <v>Machines</v>
      </c>
      <c r="AH615" t="str">
        <f t="shared" si="97"/>
        <v>Basic Machines 413</v>
      </c>
      <c r="AI615" t="str">
        <f t="shared" si="98"/>
        <v>Same Day</v>
      </c>
      <c r="AJ615" s="3" t="str">
        <f t="shared" si="99"/>
        <v>anomaly</v>
      </c>
      <c r="AK615">
        <f t="shared" si="100"/>
        <v>5</v>
      </c>
    </row>
    <row r="616" spans="1:37">
      <c r="A616" t="s">
        <v>2918</v>
      </c>
      <c r="B616" t="s">
        <v>2304</v>
      </c>
      <c r="C616" t="s">
        <v>2919</v>
      </c>
      <c r="D616" t="s">
        <v>2920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2921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  <c r="W616" t="s">
        <v>2918</v>
      </c>
      <c r="X616" t="str">
        <v>11-02-24</v>
      </c>
      <c r="Y616" t="str">
        <v>19-02-24</v>
      </c>
      <c r="Z616" t="s">
        <v>2920</v>
      </c>
      <c r="AA616" t="str">
        <v>Ananya Rao</v>
      </c>
      <c r="AB616" t="str">
        <f t="shared" si="91"/>
        <v>Home Office</v>
      </c>
      <c r="AC616" t="str">
        <f t="shared" si="92"/>
        <v>South</v>
      </c>
      <c r="AD616" t="str">
        <f t="shared" si="93"/>
        <v>Telangana</v>
      </c>
      <c r="AE616" t="str">
        <f t="shared" si="94"/>
        <v>Hyderabad</v>
      </c>
      <c r="AF616" t="str">
        <f t="shared" si="95"/>
        <v>Furniture</v>
      </c>
      <c r="AG616" t="str">
        <f t="shared" si="96"/>
        <v>Chairs</v>
      </c>
      <c r="AH616" t="str">
        <f t="shared" si="97"/>
        <v>Elite Chairs 140</v>
      </c>
      <c r="AI616" t="str">
        <f t="shared" si="98"/>
        <v>Standard Class</v>
      </c>
      <c r="AJ616" s="3" t="str">
        <f t="shared" si="99"/>
        <v>anomaly</v>
      </c>
      <c r="AK616">
        <f t="shared" si="100"/>
        <v>8</v>
      </c>
    </row>
    <row r="617" spans="1:37">
      <c r="A617" t="s">
        <v>2922</v>
      </c>
      <c r="B617" t="s">
        <v>2923</v>
      </c>
      <c r="C617" t="s">
        <v>2924</v>
      </c>
      <c r="D617" t="s">
        <v>2925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2926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  <c r="W617" t="s">
        <v>2922</v>
      </c>
      <c r="X617" t="str">
        <v>04-10-24</v>
      </c>
      <c r="Y617" t="str">
        <v>10-07-24</v>
      </c>
      <c r="Z617" t="s">
        <v>2925</v>
      </c>
      <c r="AA617" t="str">
        <v>Rahul Verma</v>
      </c>
      <c r="AB617" t="str">
        <f t="shared" si="91"/>
        <v>Corporate</v>
      </c>
      <c r="AC617" t="str">
        <f t="shared" si="92"/>
        <v>South</v>
      </c>
      <c r="AD617" t="str">
        <f t="shared" si="93"/>
        <v>Kerala</v>
      </c>
      <c r="AE617" t="str">
        <f t="shared" si="94"/>
        <v>Kochi</v>
      </c>
      <c r="AF617" t="str">
        <f t="shared" si="95"/>
        <v>Office Supplies</v>
      </c>
      <c r="AG617" t="str">
        <f t="shared" si="96"/>
        <v>Art</v>
      </c>
      <c r="AH617" t="str">
        <f t="shared" si="97"/>
        <v>Basic Art 771</v>
      </c>
      <c r="AI617" t="str">
        <f t="shared" si="98"/>
        <v>Second Class</v>
      </c>
      <c r="AJ617" s="3" t="str">
        <f t="shared" si="99"/>
        <v>anomaly</v>
      </c>
      <c r="AK617">
        <f t="shared" si="100"/>
        <v>-86</v>
      </c>
    </row>
    <row r="618" spans="1:37">
      <c r="A618" t="s">
        <v>2927</v>
      </c>
      <c r="B618" t="s">
        <v>2928</v>
      </c>
      <c r="C618" t="s">
        <v>2859</v>
      </c>
      <c r="D618" t="s">
        <v>2929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2930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  <c r="W618" t="s">
        <v>2927</v>
      </c>
      <c r="X618" t="str">
        <v>16-08-24</v>
      </c>
      <c r="Y618" t="str">
        <v>19-08-24</v>
      </c>
      <c r="Z618" t="s">
        <v>2929</v>
      </c>
      <c r="AA618" t="str">
        <v>Kabir Singh</v>
      </c>
      <c r="AB618" t="str">
        <f t="shared" si="91"/>
        <v>Consumer</v>
      </c>
      <c r="AC618" t="str">
        <f t="shared" si="92"/>
        <v>South</v>
      </c>
      <c r="AD618" t="str">
        <f t="shared" si="93"/>
        <v>Telangana</v>
      </c>
      <c r="AE618" t="str">
        <f t="shared" si="94"/>
        <v>Hyderabad</v>
      </c>
      <c r="AF618" t="str">
        <f t="shared" si="95"/>
        <v>Office Supplies</v>
      </c>
      <c r="AG618" t="str">
        <f t="shared" si="96"/>
        <v>Paper</v>
      </c>
      <c r="AH618" t="str">
        <f t="shared" si="97"/>
        <v>Prime Paper 664</v>
      </c>
      <c r="AI618" t="str">
        <f t="shared" si="98"/>
        <v>Standard Class</v>
      </c>
      <c r="AJ618" s="3" t="str">
        <f t="shared" si="99"/>
        <v>anomaly</v>
      </c>
      <c r="AK618">
        <f t="shared" si="100"/>
        <v>3</v>
      </c>
    </row>
    <row r="619" spans="1:37">
      <c r="A619" t="s">
        <v>2931</v>
      </c>
      <c r="B619" t="s">
        <v>2932</v>
      </c>
      <c r="C619" t="s">
        <v>973</v>
      </c>
      <c r="D619" t="s">
        <v>2933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2934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  <c r="W619" t="s">
        <v>2931</v>
      </c>
      <c r="X619" t="str">
        <v>invalid date</v>
      </c>
      <c r="Y619" t="str">
        <v>30-09-24</v>
      </c>
      <c r="Z619" t="s">
        <v>2933</v>
      </c>
      <c r="AA619" t="str">
        <v>Mira Das</v>
      </c>
      <c r="AB619" t="str">
        <f t="shared" si="91"/>
        <v>Home Office</v>
      </c>
      <c r="AC619" t="str">
        <f t="shared" si="92"/>
        <v>South</v>
      </c>
      <c r="AD619" t="str">
        <f t="shared" si="93"/>
        <v>Telangana</v>
      </c>
      <c r="AE619" t="str">
        <f t="shared" si="94"/>
        <v>Hyderabad</v>
      </c>
      <c r="AF619" t="str">
        <f t="shared" si="95"/>
        <v>Technology</v>
      </c>
      <c r="AG619" t="str">
        <f t="shared" si="96"/>
        <v>Phones</v>
      </c>
      <c r="AH619" t="str">
        <f t="shared" si="97"/>
        <v>Pro Phones 226</v>
      </c>
      <c r="AI619" t="str">
        <f t="shared" si="98"/>
        <v>Standard Class</v>
      </c>
      <c r="AJ619" s="3" t="str">
        <f t="shared" si="99"/>
        <v>Invalid</v>
      </c>
      <c r="AK619" t="str">
        <f t="shared" si="100"/>
        <v>invalid date</v>
      </c>
    </row>
    <row r="620" spans="1:37">
      <c r="A620" t="s">
        <v>2935</v>
      </c>
      <c r="B620" t="s">
        <v>2936</v>
      </c>
      <c r="C620" t="s">
        <v>529</v>
      </c>
      <c r="D620" t="s">
        <v>2937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2938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  <c r="W620" t="s">
        <v>2935</v>
      </c>
      <c r="X620" t="str">
        <v>23-07-24</v>
      </c>
      <c r="Y620" t="str">
        <v>30-07-24</v>
      </c>
      <c r="Z620" t="s">
        <v>2937</v>
      </c>
      <c r="AA620" t="str">
        <v>Kabir Singh</v>
      </c>
      <c r="AB620" t="str">
        <f t="shared" si="91"/>
        <v>Corporate</v>
      </c>
      <c r="AC620" t="str">
        <f t="shared" si="92"/>
        <v>North</v>
      </c>
      <c r="AD620" t="str">
        <f t="shared" si="93"/>
        <v>Rajasthan</v>
      </c>
      <c r="AE620" t="str">
        <f t="shared" si="94"/>
        <v>Jaipur</v>
      </c>
      <c r="AF620" t="str">
        <f t="shared" si="95"/>
        <v>Furniture</v>
      </c>
      <c r="AG620" t="str">
        <f t="shared" si="96"/>
        <v>Tables</v>
      </c>
      <c r="AH620" t="str">
        <f t="shared" si="97"/>
        <v>Basic Tables 684</v>
      </c>
      <c r="AI620" t="str">
        <f t="shared" si="98"/>
        <v>Same Day</v>
      </c>
      <c r="AJ620" s="3" t="str">
        <f t="shared" si="99"/>
        <v>anomaly</v>
      </c>
      <c r="AK620">
        <f t="shared" si="100"/>
        <v>7</v>
      </c>
    </row>
    <row r="621" spans="1:37">
      <c r="A621" t="s">
        <v>2939</v>
      </c>
      <c r="B621" t="s">
        <v>910</v>
      </c>
      <c r="C621" t="s">
        <v>2940</v>
      </c>
      <c r="D621" t="s">
        <v>2941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2942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  <c r="W621" t="s">
        <v>2939</v>
      </c>
      <c r="X621" t="str">
        <v>invalid date</v>
      </c>
      <c r="Y621" t="str">
        <v>27-11-24</v>
      </c>
      <c r="Z621" t="s">
        <v>2941</v>
      </c>
      <c r="AA621" t="str">
        <v>Priya Menon</v>
      </c>
      <c r="AB621" t="str">
        <f t="shared" si="91"/>
        <v>Corporate</v>
      </c>
      <c r="AC621" t="str">
        <f t="shared" si="92"/>
        <v>South</v>
      </c>
      <c r="AD621" t="str">
        <f t="shared" si="93"/>
        <v>Tamil Nadu</v>
      </c>
      <c r="AE621" t="str">
        <f t="shared" si="94"/>
        <v>Chennai</v>
      </c>
      <c r="AF621" t="str">
        <f t="shared" si="95"/>
        <v>Office Supplies</v>
      </c>
      <c r="AG621" t="str">
        <f t="shared" si="96"/>
        <v>Binders</v>
      </c>
      <c r="AH621" t="str">
        <f t="shared" si="97"/>
        <v>Prime Binders 938</v>
      </c>
      <c r="AI621" t="str">
        <f t="shared" si="98"/>
        <v>First Class</v>
      </c>
      <c r="AJ621" s="3" t="str">
        <f t="shared" si="99"/>
        <v>Invalid</v>
      </c>
      <c r="AK621" t="str">
        <f t="shared" si="100"/>
        <v>invalid date</v>
      </c>
    </row>
    <row r="622" spans="1:37">
      <c r="A622" t="s">
        <v>2943</v>
      </c>
      <c r="B622" t="s">
        <v>2944</v>
      </c>
      <c r="C622" t="s">
        <v>2945</v>
      </c>
      <c r="D622" t="s">
        <v>2946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2947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  <c r="W622" t="s">
        <v>2943</v>
      </c>
      <c r="X622" t="str">
        <v>18-08-24</v>
      </c>
      <c r="Y622" t="str">
        <v>invalid date</v>
      </c>
      <c r="Z622" t="s">
        <v>2946</v>
      </c>
      <c r="AA622" t="str">
        <v>Vikram Iyer</v>
      </c>
      <c r="AB622" t="str">
        <f t="shared" si="91"/>
        <v>Consumer</v>
      </c>
      <c r="AC622" t="str">
        <f t="shared" si="92"/>
        <v>North</v>
      </c>
      <c r="AD622" t="str">
        <f t="shared" si="93"/>
        <v>Uttar Pradesh</v>
      </c>
      <c r="AE622" t="str">
        <f t="shared" si="94"/>
        <v>Noida</v>
      </c>
      <c r="AF622" t="str">
        <f t="shared" si="95"/>
        <v>Technology</v>
      </c>
      <c r="AG622" t="str">
        <f t="shared" si="96"/>
        <v>Machines</v>
      </c>
      <c r="AH622" t="str">
        <f t="shared" si="97"/>
        <v>Classic Machines 337</v>
      </c>
      <c r="AI622" t="str">
        <f t="shared" si="98"/>
        <v>Standard Class</v>
      </c>
      <c r="AJ622" s="3" t="str">
        <f t="shared" si="99"/>
        <v>Invalid</v>
      </c>
      <c r="AK622" t="str">
        <f t="shared" si="100"/>
        <v>invalid date</v>
      </c>
    </row>
    <row r="623" spans="1:37">
      <c r="A623" t="s">
        <v>2948</v>
      </c>
      <c r="B623" t="s">
        <v>58</v>
      </c>
      <c r="C623" t="s">
        <v>2949</v>
      </c>
      <c r="D623" t="s">
        <v>2950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2951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  <c r="W623" t="s">
        <v>2948</v>
      </c>
      <c r="X623" t="str">
        <v>28-11-24</v>
      </c>
      <c r="Y623" t="str">
        <v>06-12-24</v>
      </c>
      <c r="Z623" t="s">
        <v>2950</v>
      </c>
      <c r="AA623" t="str">
        <v>Aditi Sen</v>
      </c>
      <c r="AB623" t="str">
        <f t="shared" si="91"/>
        <v>Consumer</v>
      </c>
      <c r="AC623" t="str">
        <f t="shared" si="92"/>
        <v>West</v>
      </c>
      <c r="AD623" t="str">
        <f t="shared" si="93"/>
        <v>Maharashtra</v>
      </c>
      <c r="AE623" t="str">
        <f t="shared" si="94"/>
        <v>Mumbai</v>
      </c>
      <c r="AF623" t="str">
        <f t="shared" si="95"/>
        <v>Furniture</v>
      </c>
      <c r="AG623" t="str">
        <f t="shared" si="96"/>
        <v>Chairs</v>
      </c>
      <c r="AH623" t="str">
        <f t="shared" si="97"/>
        <v>Max Chairs 748</v>
      </c>
      <c r="AI623" t="str">
        <f t="shared" si="98"/>
        <v>Same Day</v>
      </c>
      <c r="AJ623" s="3" t="str">
        <f t="shared" si="99"/>
        <v xml:space="preserve">  </v>
      </c>
      <c r="AK623">
        <f t="shared" si="100"/>
        <v>8</v>
      </c>
    </row>
    <row r="624" spans="1:37">
      <c r="A624" t="s">
        <v>2952</v>
      </c>
      <c r="B624" t="s">
        <v>2953</v>
      </c>
      <c r="C624" t="s">
        <v>2954</v>
      </c>
      <c r="D624" t="s">
        <v>2955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2956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  <c r="W624" t="s">
        <v>2952</v>
      </c>
      <c r="X624" t="str">
        <v>29-01-25</v>
      </c>
      <c r="Y624" t="str">
        <v>06-02-25</v>
      </c>
      <c r="Z624" t="s">
        <v>2955</v>
      </c>
      <c r="AA624" t="str">
        <v>Vikram Iyer</v>
      </c>
      <c r="AB624" t="str">
        <f t="shared" si="91"/>
        <v>Consumer</v>
      </c>
      <c r="AC624" t="str">
        <f t="shared" si="92"/>
        <v>East</v>
      </c>
      <c r="AD624" t="str">
        <f t="shared" si="93"/>
        <v>Bihar</v>
      </c>
      <c r="AE624" t="str">
        <f t="shared" si="94"/>
        <v>Patna</v>
      </c>
      <c r="AF624" t="str">
        <f t="shared" si="95"/>
        <v>Office Supplies</v>
      </c>
      <c r="AG624" t="str">
        <f t="shared" si="96"/>
        <v>Storage</v>
      </c>
      <c r="AH624" t="str">
        <f t="shared" si="97"/>
        <v>Basic Storage 934</v>
      </c>
      <c r="AI624" t="str">
        <f t="shared" si="98"/>
        <v>Standard Class</v>
      </c>
      <c r="AJ624" s="3" t="str">
        <f t="shared" si="99"/>
        <v xml:space="preserve">  </v>
      </c>
      <c r="AK624">
        <f t="shared" si="100"/>
        <v>8</v>
      </c>
    </row>
    <row r="625" spans="1:37">
      <c r="A625" t="s">
        <v>2957</v>
      </c>
      <c r="B625" t="s">
        <v>2958</v>
      </c>
      <c r="C625" t="s">
        <v>2959</v>
      </c>
      <c r="D625" t="s">
        <v>2960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2961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  <c r="W625" t="s">
        <v>2957</v>
      </c>
      <c r="X625" t="str">
        <v>08-08-24</v>
      </c>
      <c r="Y625" t="str">
        <v>14-08-24</v>
      </c>
      <c r="Z625" t="s">
        <v>2960</v>
      </c>
      <c r="AA625" t="str">
        <v>Vikram Iyer</v>
      </c>
      <c r="AB625" t="str">
        <f t="shared" si="91"/>
        <v>Home Office</v>
      </c>
      <c r="AC625" t="str">
        <f t="shared" si="92"/>
        <v>North</v>
      </c>
      <c r="AD625" t="str">
        <f t="shared" si="93"/>
        <v>Punjab</v>
      </c>
      <c r="AE625" t="str">
        <f t="shared" si="94"/>
        <v>Ludhiana</v>
      </c>
      <c r="AF625" t="str">
        <f t="shared" si="95"/>
        <v>Office Supplies</v>
      </c>
      <c r="AG625" t="str">
        <f t="shared" si="96"/>
        <v>Storage</v>
      </c>
      <c r="AH625" t="str">
        <f t="shared" si="97"/>
        <v>Pro Storage 509</v>
      </c>
      <c r="AI625" t="str">
        <f t="shared" si="98"/>
        <v>Second Class</v>
      </c>
      <c r="AJ625" s="3" t="str">
        <f t="shared" si="99"/>
        <v>anomaly</v>
      </c>
      <c r="AK625">
        <f t="shared" si="100"/>
        <v>6</v>
      </c>
    </row>
    <row r="626" spans="1:37">
      <c r="A626" t="s">
        <v>2962</v>
      </c>
      <c r="B626" t="s">
        <v>2963</v>
      </c>
      <c r="C626" t="s">
        <v>2964</v>
      </c>
      <c r="D626" t="s">
        <v>2965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2966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  <c r="W626" t="s">
        <v>2962</v>
      </c>
      <c r="X626" t="str">
        <v>invalid date</v>
      </c>
      <c r="Y626" t="str">
        <v>01-02-24</v>
      </c>
      <c r="Z626" t="s">
        <v>2965</v>
      </c>
      <c r="AA626" t="str">
        <v>Neha Gupta</v>
      </c>
      <c r="AB626" t="str">
        <f t="shared" si="91"/>
        <v>Home Office</v>
      </c>
      <c r="AC626" t="str">
        <f t="shared" si="92"/>
        <v>East</v>
      </c>
      <c r="AD626" t="str">
        <f t="shared" si="93"/>
        <v>Assam</v>
      </c>
      <c r="AE626" t="str">
        <f t="shared" si="94"/>
        <v>Guwahati</v>
      </c>
      <c r="AF626" t="str">
        <f t="shared" si="95"/>
        <v>Furniture</v>
      </c>
      <c r="AG626" t="str">
        <f t="shared" si="96"/>
        <v>Chairs</v>
      </c>
      <c r="AH626" t="str">
        <f t="shared" si="97"/>
        <v>Prime Chairs 765</v>
      </c>
      <c r="AI626" t="str">
        <f t="shared" si="98"/>
        <v>First Class</v>
      </c>
      <c r="AJ626" s="3" t="str">
        <f t="shared" si="99"/>
        <v>Invalid</v>
      </c>
      <c r="AK626" t="str">
        <f t="shared" si="100"/>
        <v>invalid date</v>
      </c>
    </row>
    <row r="627" spans="1:37">
      <c r="A627" t="s">
        <v>2967</v>
      </c>
      <c r="B627" t="s">
        <v>2968</v>
      </c>
      <c r="C627" t="s">
        <v>1402</v>
      </c>
      <c r="D627" t="s">
        <v>2969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2970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  <c r="W627" t="s">
        <v>2967</v>
      </c>
      <c r="X627" t="str">
        <v>invalid date</v>
      </c>
      <c r="Y627" t="str">
        <v>21-12-24</v>
      </c>
      <c r="Z627" t="s">
        <v>2969</v>
      </c>
      <c r="AA627" t="str">
        <v>Diya Patel</v>
      </c>
      <c r="AB627" t="str">
        <f t="shared" si="91"/>
        <v>Corporate</v>
      </c>
      <c r="AC627" t="str">
        <f t="shared" si="92"/>
        <v>West</v>
      </c>
      <c r="AD627" t="str">
        <f t="shared" si="93"/>
        <v>Rajasthan</v>
      </c>
      <c r="AE627" t="str">
        <f t="shared" si="94"/>
        <v>Udaipur</v>
      </c>
      <c r="AF627" t="str">
        <f t="shared" si="95"/>
        <v>Furniture</v>
      </c>
      <c r="AG627" t="str">
        <f t="shared" si="96"/>
        <v>Chairs</v>
      </c>
      <c r="AH627" t="str">
        <f t="shared" si="97"/>
        <v>Elite Chairs 358</v>
      </c>
      <c r="AI627" t="str">
        <f t="shared" si="98"/>
        <v>Same Day</v>
      </c>
      <c r="AJ627" s="3" t="str">
        <f t="shared" si="99"/>
        <v>Invalid</v>
      </c>
      <c r="AK627" t="str">
        <f t="shared" si="100"/>
        <v>invalid date</v>
      </c>
    </row>
    <row r="628" spans="1:37">
      <c r="A628" t="s">
        <v>2971</v>
      </c>
      <c r="B628" t="s">
        <v>1387</v>
      </c>
      <c r="C628" t="s">
        <v>2972</v>
      </c>
      <c r="D628" t="s">
        <v>2973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2974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  <c r="W628" t="s">
        <v>2971</v>
      </c>
      <c r="X628" t="str">
        <v>04-06-25</v>
      </c>
      <c r="Y628" t="str">
        <v>06-07-25</v>
      </c>
      <c r="Z628" t="s">
        <v>2973</v>
      </c>
      <c r="AA628" t="str">
        <v>Sneha Kapoor</v>
      </c>
      <c r="AB628" t="str">
        <f t="shared" si="91"/>
        <v>Home Office</v>
      </c>
      <c r="AC628" t="str">
        <f t="shared" si="92"/>
        <v>East</v>
      </c>
      <c r="AD628" t="str">
        <f t="shared" si="93"/>
        <v>Assam</v>
      </c>
      <c r="AE628" t="str">
        <f t="shared" si="94"/>
        <v>Guwahati</v>
      </c>
      <c r="AF628" t="str">
        <f t="shared" si="95"/>
        <v>Technology</v>
      </c>
      <c r="AG628" t="str">
        <f t="shared" si="96"/>
        <v>Machines</v>
      </c>
      <c r="AH628" t="str">
        <f t="shared" si="97"/>
        <v>Elite Machines 971</v>
      </c>
      <c r="AI628" t="str">
        <f t="shared" si="98"/>
        <v>Standard Class</v>
      </c>
      <c r="AJ628" s="3" t="str">
        <f t="shared" si="99"/>
        <v>anomaly</v>
      </c>
      <c r="AK628">
        <f t="shared" si="100"/>
        <v>32</v>
      </c>
    </row>
    <row r="629" spans="1:37">
      <c r="A629" t="s">
        <v>2975</v>
      </c>
      <c r="B629" t="s">
        <v>1412</v>
      </c>
      <c r="C629" t="s">
        <v>1773</v>
      </c>
      <c r="D629" t="s">
        <v>2976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2977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  <c r="W629" t="s">
        <v>2975</v>
      </c>
      <c r="X629" t="str">
        <v>invalid date</v>
      </c>
      <c r="Y629" t="str">
        <v>21-02-25</v>
      </c>
      <c r="Z629" t="s">
        <v>2976</v>
      </c>
      <c r="AA629" t="str">
        <v>Karan Malhotra</v>
      </c>
      <c r="AB629" t="str">
        <f t="shared" si="91"/>
        <v>Small Business</v>
      </c>
      <c r="AC629" t="str">
        <f t="shared" si="92"/>
        <v>South</v>
      </c>
      <c r="AD629" t="str">
        <f t="shared" si="93"/>
        <v>Kerala</v>
      </c>
      <c r="AE629" t="str">
        <f t="shared" si="94"/>
        <v>Kochi</v>
      </c>
      <c r="AF629" t="str">
        <f t="shared" si="95"/>
        <v>Technology</v>
      </c>
      <c r="AG629" t="str">
        <f t="shared" si="96"/>
        <v>Phones</v>
      </c>
      <c r="AH629" t="str">
        <f t="shared" si="97"/>
        <v>Max Phones 825</v>
      </c>
      <c r="AI629" t="str">
        <f t="shared" si="98"/>
        <v>Second Class</v>
      </c>
      <c r="AJ629" s="3" t="str">
        <f t="shared" si="99"/>
        <v>Invalid</v>
      </c>
      <c r="AK629" t="str">
        <f t="shared" si="100"/>
        <v>invalid date</v>
      </c>
    </row>
    <row r="630" spans="1:37">
      <c r="A630" t="s">
        <v>2978</v>
      </c>
      <c r="B630" t="s">
        <v>2551</v>
      </c>
      <c r="C630" t="s">
        <v>2979</v>
      </c>
      <c r="D630" t="s">
        <v>2980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2981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  <c r="W630" t="s">
        <v>2978</v>
      </c>
      <c r="X630" t="str">
        <v>05-10-25</v>
      </c>
      <c r="Y630" t="str">
        <v>12-10-25</v>
      </c>
      <c r="Z630" t="s">
        <v>2980</v>
      </c>
      <c r="AA630" t="str">
        <v>Ananya Rao</v>
      </c>
      <c r="AB630" t="str">
        <f t="shared" si="91"/>
        <v>Home Office</v>
      </c>
      <c r="AC630" t="str">
        <f t="shared" si="92"/>
        <v>East</v>
      </c>
      <c r="AD630" t="str">
        <f t="shared" si="93"/>
        <v>Jharkhand</v>
      </c>
      <c r="AE630" t="str">
        <f t="shared" si="94"/>
        <v>Ranchi</v>
      </c>
      <c r="AF630" t="str">
        <f t="shared" si="95"/>
        <v>Technology</v>
      </c>
      <c r="AG630" t="str">
        <f t="shared" si="96"/>
        <v>Accessories</v>
      </c>
      <c r="AH630" t="str">
        <f t="shared" si="97"/>
        <v>Eco Accessories 933</v>
      </c>
      <c r="AI630" t="str">
        <f t="shared" si="98"/>
        <v>Same Day</v>
      </c>
      <c r="AJ630" s="3" t="str">
        <f t="shared" si="99"/>
        <v>anomaly</v>
      </c>
      <c r="AK630">
        <f t="shared" si="100"/>
        <v>7</v>
      </c>
    </row>
    <row r="631" spans="1:37">
      <c r="A631" t="s">
        <v>2982</v>
      </c>
      <c r="B631" t="s">
        <v>573</v>
      </c>
      <c r="C631" t="s">
        <v>2983</v>
      </c>
      <c r="D631" t="s">
        <v>2984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2985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  <c r="W631" t="s">
        <v>2982</v>
      </c>
      <c r="X631" t="str">
        <v>09-10-25</v>
      </c>
      <c r="Y631" t="str">
        <v>14-09-25</v>
      </c>
      <c r="Z631" t="s">
        <v>2984</v>
      </c>
      <c r="AA631" t="str">
        <v>Arjun Bose</v>
      </c>
      <c r="AB631" t="str">
        <f t="shared" si="91"/>
        <v>Home Office</v>
      </c>
      <c r="AC631" t="str">
        <f t="shared" si="92"/>
        <v>West</v>
      </c>
      <c r="AD631" t="str">
        <f t="shared" si="93"/>
        <v>Gujarat</v>
      </c>
      <c r="AE631" t="str">
        <f t="shared" si="94"/>
        <v>Ahmedabad</v>
      </c>
      <c r="AF631" t="str">
        <f t="shared" si="95"/>
        <v>Furniture</v>
      </c>
      <c r="AG631" t="str">
        <f t="shared" si="96"/>
        <v>Tables</v>
      </c>
      <c r="AH631" t="str">
        <f t="shared" si="97"/>
        <v>Max Tables 908</v>
      </c>
      <c r="AI631" t="str">
        <f t="shared" si="98"/>
        <v>Same Day</v>
      </c>
      <c r="AJ631" s="3" t="str">
        <f t="shared" si="99"/>
        <v>anomaly</v>
      </c>
      <c r="AK631">
        <f t="shared" si="100"/>
        <v>-25</v>
      </c>
    </row>
    <row r="632" spans="1:37">
      <c r="A632" t="s">
        <v>2986</v>
      </c>
      <c r="B632" t="s">
        <v>2441</v>
      </c>
      <c r="C632" t="s">
        <v>1495</v>
      </c>
      <c r="D632" t="s">
        <v>2987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2988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  <c r="W632" t="s">
        <v>2986</v>
      </c>
      <c r="X632" t="str">
        <v>09-04-24</v>
      </c>
      <c r="Y632" t="str">
        <v>10-04-24</v>
      </c>
      <c r="Z632" t="s">
        <v>2987</v>
      </c>
      <c r="AA632" t="str">
        <v>Priya Menon</v>
      </c>
      <c r="AB632" t="str">
        <f t="shared" si="91"/>
        <v>Corporate</v>
      </c>
      <c r="AC632" t="str">
        <f t="shared" si="92"/>
        <v>East</v>
      </c>
      <c r="AD632" t="str">
        <f t="shared" si="93"/>
        <v>Assam</v>
      </c>
      <c r="AE632" t="str">
        <f t="shared" si="94"/>
        <v>Guwahati</v>
      </c>
      <c r="AF632" t="str">
        <f t="shared" si="95"/>
        <v>Office Supplies</v>
      </c>
      <c r="AG632" t="str">
        <f t="shared" si="96"/>
        <v>Paper</v>
      </c>
      <c r="AH632" t="str">
        <f t="shared" si="97"/>
        <v>Elite Paper 239</v>
      </c>
      <c r="AI632" t="str">
        <f t="shared" si="98"/>
        <v>Standard Class</v>
      </c>
      <c r="AJ632" s="3" t="str">
        <f t="shared" si="99"/>
        <v>anomaly</v>
      </c>
      <c r="AK632">
        <f t="shared" si="100"/>
        <v>1</v>
      </c>
    </row>
    <row r="633" spans="1:37">
      <c r="A633" t="s">
        <v>2989</v>
      </c>
      <c r="B633" t="s">
        <v>1438</v>
      </c>
      <c r="C633" t="s">
        <v>1538</v>
      </c>
      <c r="D633" t="s">
        <v>2990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2991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  <c r="W633" t="s">
        <v>2989</v>
      </c>
      <c r="X633" t="str">
        <v>10-04-24</v>
      </c>
      <c r="Y633" t="str">
        <v>15-04-24</v>
      </c>
      <c r="Z633" t="s">
        <v>2990</v>
      </c>
      <c r="AA633" t="str">
        <v>Aarav Sharma</v>
      </c>
      <c r="AB633" t="str">
        <f t="shared" si="91"/>
        <v>Home Office</v>
      </c>
      <c r="AC633" t="str">
        <f t="shared" si="92"/>
        <v>West</v>
      </c>
      <c r="AD633" t="str">
        <f t="shared" si="93"/>
        <v>Rajasthan</v>
      </c>
      <c r="AE633" t="str">
        <f t="shared" si="94"/>
        <v>Udaipur</v>
      </c>
      <c r="AF633" t="str">
        <f t="shared" si="95"/>
        <v>Furniture</v>
      </c>
      <c r="AG633" t="str">
        <f t="shared" si="96"/>
        <v>Chairs</v>
      </c>
      <c r="AH633" t="str">
        <f t="shared" si="97"/>
        <v>Eco Chairs 452</v>
      </c>
      <c r="AI633" t="str">
        <f t="shared" si="98"/>
        <v>Standard Class</v>
      </c>
      <c r="AJ633" s="3" t="str">
        <f t="shared" si="99"/>
        <v>anomaly</v>
      </c>
      <c r="AK633">
        <f t="shared" si="100"/>
        <v>5</v>
      </c>
    </row>
    <row r="634" spans="1:37">
      <c r="A634" t="s">
        <v>2992</v>
      </c>
      <c r="B634" t="s">
        <v>2993</v>
      </c>
      <c r="C634" t="s">
        <v>2994</v>
      </c>
      <c r="D634" t="s">
        <v>2995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2996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  <c r="W634" t="s">
        <v>2992</v>
      </c>
      <c r="X634" t="str">
        <v>15-04-25</v>
      </c>
      <c r="Y634" t="str">
        <v>16-04-25</v>
      </c>
      <c r="Z634" t="s">
        <v>2995</v>
      </c>
      <c r="AA634" t="str">
        <v>Sneha Kapoor</v>
      </c>
      <c r="AB634" t="str">
        <f t="shared" si="91"/>
        <v>Small Business</v>
      </c>
      <c r="AC634" t="str">
        <f t="shared" si="92"/>
        <v>South</v>
      </c>
      <c r="AD634" t="str">
        <f t="shared" si="93"/>
        <v>Karnataka</v>
      </c>
      <c r="AE634" t="str">
        <f t="shared" si="94"/>
        <v>Bengaluru</v>
      </c>
      <c r="AF634" t="str">
        <f t="shared" si="95"/>
        <v>Furniture</v>
      </c>
      <c r="AG634" t="str">
        <f t="shared" si="96"/>
        <v>Furnishings</v>
      </c>
      <c r="AH634" t="str">
        <f t="shared" si="97"/>
        <v>Smart Furnishings 721</v>
      </c>
      <c r="AI634" t="str">
        <f t="shared" si="98"/>
        <v>First Class</v>
      </c>
      <c r="AJ634" s="3" t="str">
        <f t="shared" si="99"/>
        <v>anomaly</v>
      </c>
      <c r="AK634">
        <f t="shared" si="100"/>
        <v>1</v>
      </c>
    </row>
    <row r="635" spans="1:37">
      <c r="A635" t="s">
        <v>2997</v>
      </c>
      <c r="B635" t="s">
        <v>2998</v>
      </c>
      <c r="C635" t="s">
        <v>2999</v>
      </c>
      <c r="D635" t="s">
        <v>3000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3001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  <c r="W635" t="s">
        <v>2997</v>
      </c>
      <c r="X635" t="str">
        <v>invalid date</v>
      </c>
      <c r="Y635" t="str">
        <v>20-04-25</v>
      </c>
      <c r="Z635" t="s">
        <v>3000</v>
      </c>
      <c r="AA635" t="str">
        <v>Aarav Sharma</v>
      </c>
      <c r="AB635" t="str">
        <f t="shared" si="91"/>
        <v>Small Business</v>
      </c>
      <c r="AC635" t="str">
        <f t="shared" si="92"/>
        <v>South</v>
      </c>
      <c r="AD635" t="str">
        <f t="shared" si="93"/>
        <v>Tamil Nadu</v>
      </c>
      <c r="AE635" t="str">
        <f t="shared" si="94"/>
        <v>Chennai</v>
      </c>
      <c r="AF635" t="str">
        <f t="shared" si="95"/>
        <v>Technology</v>
      </c>
      <c r="AG635" t="str">
        <f t="shared" si="96"/>
        <v>Accessories</v>
      </c>
      <c r="AH635" t="str">
        <f t="shared" si="97"/>
        <v>Basic Accessories 729</v>
      </c>
      <c r="AI635" t="str">
        <f t="shared" si="98"/>
        <v>Second Class</v>
      </c>
      <c r="AJ635" s="3" t="str">
        <f t="shared" si="99"/>
        <v>Invalid</v>
      </c>
      <c r="AK635" t="str">
        <f t="shared" si="100"/>
        <v>invalid date</v>
      </c>
    </row>
    <row r="636" spans="1:37">
      <c r="A636" t="s">
        <v>3002</v>
      </c>
      <c r="B636" t="s">
        <v>3003</v>
      </c>
      <c r="C636" t="s">
        <v>2176</v>
      </c>
      <c r="D636" t="s">
        <v>3004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3005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  <c r="W636" t="s">
        <v>3002</v>
      </c>
      <c r="X636" t="str">
        <v>01-11-25</v>
      </c>
      <c r="Y636" t="str">
        <v>12-01-25</v>
      </c>
      <c r="Z636" t="s">
        <v>3004</v>
      </c>
      <c r="AA636" t="str">
        <v>Aditi Sen</v>
      </c>
      <c r="AB636" t="str">
        <f t="shared" si="91"/>
        <v>Consumer</v>
      </c>
      <c r="AC636" t="str">
        <f t="shared" si="92"/>
        <v>South</v>
      </c>
      <c r="AD636" t="str">
        <f t="shared" si="93"/>
        <v>Telangana</v>
      </c>
      <c r="AE636" t="str">
        <f t="shared" si="94"/>
        <v>Hyderabad</v>
      </c>
      <c r="AF636" t="str">
        <f t="shared" si="95"/>
        <v>Furniture</v>
      </c>
      <c r="AG636" t="str">
        <f t="shared" si="96"/>
        <v>Chairs</v>
      </c>
      <c r="AH636" t="str">
        <f t="shared" si="97"/>
        <v>Classic Chairs 220</v>
      </c>
      <c r="AI636" t="str">
        <f t="shared" si="98"/>
        <v>Second Class</v>
      </c>
      <c r="AJ636" s="3" t="str">
        <f t="shared" si="99"/>
        <v>anomaly</v>
      </c>
      <c r="AK636">
        <f t="shared" si="100"/>
        <v>-293</v>
      </c>
    </row>
    <row r="637" spans="1:37">
      <c r="A637" t="s">
        <v>3006</v>
      </c>
      <c r="B637" t="s">
        <v>2902</v>
      </c>
      <c r="C637" t="s">
        <v>3007</v>
      </c>
      <c r="D637" t="s">
        <v>3008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3009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  <c r="W637" t="s">
        <v>3006</v>
      </c>
      <c r="X637" t="str">
        <v>20-05-24</v>
      </c>
      <c r="Y637" t="str">
        <v>25-05-24</v>
      </c>
      <c r="Z637" t="s">
        <v>3008</v>
      </c>
      <c r="AA637" t="str">
        <v>Mira Das</v>
      </c>
      <c r="AB637" t="str">
        <f t="shared" si="91"/>
        <v>Corporate</v>
      </c>
      <c r="AC637" t="str">
        <f t="shared" si="92"/>
        <v>South</v>
      </c>
      <c r="AD637" t="str">
        <f t="shared" si="93"/>
        <v>Andhra Pradesh</v>
      </c>
      <c r="AE637" t="str">
        <f t="shared" si="94"/>
        <v>Vijayawada</v>
      </c>
      <c r="AF637" t="str">
        <f t="shared" si="95"/>
        <v>Furniture</v>
      </c>
      <c r="AG637" t="str">
        <f t="shared" si="96"/>
        <v>Chairs</v>
      </c>
      <c r="AH637" t="str">
        <f t="shared" si="97"/>
        <v>Max Chairs 305</v>
      </c>
      <c r="AI637" t="str">
        <f t="shared" si="98"/>
        <v>Same Day</v>
      </c>
      <c r="AJ637" s="3" t="str">
        <f t="shared" si="99"/>
        <v>anomaly</v>
      </c>
      <c r="AK637">
        <f t="shared" si="100"/>
        <v>5</v>
      </c>
    </row>
    <row r="638" spans="1:37">
      <c r="A638" t="s">
        <v>3010</v>
      </c>
      <c r="B638" t="s">
        <v>3011</v>
      </c>
      <c r="C638" t="s">
        <v>3012</v>
      </c>
      <c r="D638" t="s">
        <v>3013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3014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  <c r="W638" t="s">
        <v>3010</v>
      </c>
      <c r="X638" t="str">
        <v>02-10-24</v>
      </c>
      <c r="Y638" t="str">
        <v>09-10-24</v>
      </c>
      <c r="Z638" t="s">
        <v>3013</v>
      </c>
      <c r="AA638" t="str">
        <v>Ananya Rao</v>
      </c>
      <c r="AB638" t="str">
        <f t="shared" si="91"/>
        <v>Consumer</v>
      </c>
      <c r="AC638" t="str">
        <f t="shared" si="92"/>
        <v>South</v>
      </c>
      <c r="AD638" t="str">
        <f t="shared" si="93"/>
        <v>Tamil Nadu</v>
      </c>
      <c r="AE638" t="str">
        <f t="shared" si="94"/>
        <v>Chennai</v>
      </c>
      <c r="AF638" t="str">
        <f t="shared" si="95"/>
        <v>Office Supplies</v>
      </c>
      <c r="AG638" t="str">
        <f t="shared" si="96"/>
        <v>Paper</v>
      </c>
      <c r="AH638" t="str">
        <f t="shared" si="97"/>
        <v>Smart Paper 872</v>
      </c>
      <c r="AI638" t="str">
        <f t="shared" si="98"/>
        <v>Standard Class</v>
      </c>
      <c r="AJ638" s="3" t="str">
        <f t="shared" si="99"/>
        <v>anomaly</v>
      </c>
      <c r="AK638">
        <f t="shared" si="100"/>
        <v>7</v>
      </c>
    </row>
    <row r="639" spans="1:37">
      <c r="A639" t="s">
        <v>3015</v>
      </c>
      <c r="B639" t="s">
        <v>3016</v>
      </c>
      <c r="C639" t="s">
        <v>3017</v>
      </c>
      <c r="D639" t="s">
        <v>3018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3019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  <c r="W639" t="s">
        <v>3015</v>
      </c>
      <c r="X639" t="str">
        <v>26-05-24</v>
      </c>
      <c r="Y639" t="str">
        <v>26-05-24</v>
      </c>
      <c r="Z639" t="s">
        <v>3018</v>
      </c>
      <c r="AA639" t="str">
        <v>Rahul Verma</v>
      </c>
      <c r="AB639" t="str">
        <f t="shared" si="91"/>
        <v>Small Business</v>
      </c>
      <c r="AC639" t="str">
        <f t="shared" si="92"/>
        <v>West</v>
      </c>
      <c r="AD639" t="str">
        <f t="shared" si="93"/>
        <v>Goa</v>
      </c>
      <c r="AE639" t="str">
        <f t="shared" si="94"/>
        <v>Panaji</v>
      </c>
      <c r="AF639" t="str">
        <f t="shared" si="95"/>
        <v>Technology</v>
      </c>
      <c r="AG639" t="str">
        <f t="shared" si="96"/>
        <v>Copiers</v>
      </c>
      <c r="AH639" t="str">
        <f t="shared" si="97"/>
        <v>Max Copiers 994</v>
      </c>
      <c r="AI639" t="str">
        <f t="shared" si="98"/>
        <v>First Class</v>
      </c>
      <c r="AJ639" s="3" t="str">
        <f t="shared" si="99"/>
        <v xml:space="preserve">  </v>
      </c>
      <c r="AK639">
        <f t="shared" si="100"/>
        <v>0</v>
      </c>
    </row>
    <row r="640" spans="1:37">
      <c r="A640" t="s">
        <v>3020</v>
      </c>
      <c r="B640" t="s">
        <v>2868</v>
      </c>
      <c r="C640" t="s">
        <v>3021</v>
      </c>
      <c r="D640" t="s">
        <v>3022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3023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  <c r="W640" t="s">
        <v>3020</v>
      </c>
      <c r="X640" t="str">
        <v>26-01-24</v>
      </c>
      <c r="Y640" t="str">
        <v>31-01-24</v>
      </c>
      <c r="Z640" t="s">
        <v>3022</v>
      </c>
      <c r="AA640" t="str">
        <v>Karan Malhotra</v>
      </c>
      <c r="AB640" t="str">
        <f t="shared" si="91"/>
        <v>Corporate</v>
      </c>
      <c r="AC640" t="str">
        <f t="shared" si="92"/>
        <v>South</v>
      </c>
      <c r="AD640" t="str">
        <f t="shared" si="93"/>
        <v>Kerala</v>
      </c>
      <c r="AE640" t="str">
        <f t="shared" si="94"/>
        <v>Kochi</v>
      </c>
      <c r="AF640" t="str">
        <f t="shared" si="95"/>
        <v>Office Supplies</v>
      </c>
      <c r="AG640" t="str">
        <f t="shared" si="96"/>
        <v>Storage</v>
      </c>
      <c r="AH640" t="str">
        <f t="shared" si="97"/>
        <v>Pro Storage 744</v>
      </c>
      <c r="AI640" t="str">
        <f t="shared" si="98"/>
        <v>Second Class</v>
      </c>
      <c r="AJ640" s="3" t="str">
        <f t="shared" si="99"/>
        <v>anomaly</v>
      </c>
      <c r="AK640">
        <f t="shared" si="100"/>
        <v>5</v>
      </c>
    </row>
    <row r="641" spans="1:37">
      <c r="A641" t="s">
        <v>3024</v>
      </c>
      <c r="B641" t="s">
        <v>3025</v>
      </c>
      <c r="C641" t="s">
        <v>1869</v>
      </c>
      <c r="D641" t="s">
        <v>3026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3027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  <c r="W641" t="s">
        <v>3024</v>
      </c>
      <c r="X641" t="str">
        <v>invalid date</v>
      </c>
      <c r="Y641" t="str">
        <v>31-12-24</v>
      </c>
      <c r="Z641" t="s">
        <v>3026</v>
      </c>
      <c r="AA641" t="str">
        <v>Isha Nair</v>
      </c>
      <c r="AB641" t="str">
        <f t="shared" si="91"/>
        <v>Small Business</v>
      </c>
      <c r="AC641" t="str">
        <f t="shared" si="92"/>
        <v>East</v>
      </c>
      <c r="AD641" t="str">
        <f t="shared" si="93"/>
        <v>Odisha</v>
      </c>
      <c r="AE641" t="str">
        <f t="shared" si="94"/>
        <v>Bhubaneswar</v>
      </c>
      <c r="AF641" t="str">
        <f t="shared" si="95"/>
        <v>Furniture</v>
      </c>
      <c r="AG641" t="str">
        <f t="shared" si="96"/>
        <v>Chairs</v>
      </c>
      <c r="AH641" t="str">
        <f t="shared" si="97"/>
        <v>Elite Chairs 744</v>
      </c>
      <c r="AI641" t="str">
        <f t="shared" si="98"/>
        <v>Second Class</v>
      </c>
      <c r="AJ641" s="3" t="str">
        <f t="shared" si="99"/>
        <v>Invalid</v>
      </c>
      <c r="AK641" t="str">
        <f t="shared" si="100"/>
        <v>invalid date</v>
      </c>
    </row>
    <row r="642" spans="1:37">
      <c r="A642" t="s">
        <v>3028</v>
      </c>
      <c r="B642" t="s">
        <v>3029</v>
      </c>
      <c r="C642" t="s">
        <v>3030</v>
      </c>
      <c r="D642" t="s">
        <v>3031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3032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  <c r="W642" t="s">
        <v>3028</v>
      </c>
      <c r="X642" t="str">
        <v>14-01-25</v>
      </c>
      <c r="Y642" t="str">
        <v>17-01-25</v>
      </c>
      <c r="Z642" t="s">
        <v>3031</v>
      </c>
      <c r="AA642" t="str">
        <v>Vikram Iyer</v>
      </c>
      <c r="AB642" t="str">
        <f t="shared" si="91"/>
        <v>Consumer</v>
      </c>
      <c r="AC642" t="str">
        <f t="shared" si="92"/>
        <v>West</v>
      </c>
      <c r="AD642" t="str">
        <f t="shared" si="93"/>
        <v>Goa</v>
      </c>
      <c r="AE642" t="str">
        <f t="shared" si="94"/>
        <v>Panaji</v>
      </c>
      <c r="AF642" t="str">
        <f t="shared" si="95"/>
        <v>Office Supplies</v>
      </c>
      <c r="AG642" t="str">
        <f t="shared" si="96"/>
        <v>Storage</v>
      </c>
      <c r="AH642" t="str">
        <f t="shared" si="97"/>
        <v>Basic Storage 973</v>
      </c>
      <c r="AI642" t="str">
        <f t="shared" si="98"/>
        <v>First Class</v>
      </c>
      <c r="AJ642" s="3" t="str">
        <f t="shared" si="99"/>
        <v>anomaly</v>
      </c>
      <c r="AK642">
        <f t="shared" si="100"/>
        <v>3</v>
      </c>
    </row>
    <row r="643" spans="1:37">
      <c r="A643" t="s">
        <v>3033</v>
      </c>
      <c r="B643" t="s">
        <v>3034</v>
      </c>
      <c r="C643" t="s">
        <v>1960</v>
      </c>
      <c r="D643" t="s">
        <v>3035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3036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  <c r="W643" t="s">
        <v>3033</v>
      </c>
      <c r="X643" t="str">
        <v>09-04-25</v>
      </c>
      <c r="Y643" t="str">
        <v>14-04-25</v>
      </c>
      <c r="Z643" t="s">
        <v>3035</v>
      </c>
      <c r="AA643" t="str">
        <v>Karan Malhotra</v>
      </c>
      <c r="AB643" t="str">
        <f t="shared" ref="AB643:AB706" si="101">TRIM(PROPER(F:F))</f>
        <v>Consumer</v>
      </c>
      <c r="AC643" t="str">
        <f t="shared" ref="AC643:AC706" si="102">TRIM(PROPER(G:G))</f>
        <v>North</v>
      </c>
      <c r="AD643" t="str">
        <f t="shared" ref="AD643:AD706" si="103">TRIM(PROPER(H:H))</f>
        <v>Delhi</v>
      </c>
      <c r="AE643" t="str">
        <f t="shared" ref="AE643:AE706" si="104">TRIM(PROPER(I:I))</f>
        <v>New Delhi</v>
      </c>
      <c r="AF643" t="str">
        <f t="shared" ref="AF643:AF706" si="105">TRIM(PROPER(J:J))</f>
        <v>Furniture</v>
      </c>
      <c r="AG643" t="str">
        <f t="shared" ref="AG643:AG706" si="106">TRIM(PROPER(K:K))</f>
        <v>Furnishings</v>
      </c>
      <c r="AH643" t="str">
        <f t="shared" ref="AH643:AH706" si="107">TRIM(PROPER(L:L))</f>
        <v>Smart Furnishings 783</v>
      </c>
      <c r="AI643" t="str">
        <f t="shared" ref="AI643:AI705" si="108">TRIM(PROPER(M:M))</f>
        <v>Same Day</v>
      </c>
      <c r="AJ643" s="3" t="str">
        <f t="shared" ref="AJ643:AJ706" si="109">IF(OR(X:X="Invalid Date",Y:Y="Invalid Date"),"Invalid",(IF(X:X&lt;Y:Y,"anomaly", "  ")))</f>
        <v>anomaly</v>
      </c>
      <c r="AK643">
        <f t="shared" ref="AK643:AK706" si="110">IFERROR(Y643-X643, "invalid date")</f>
        <v>5</v>
      </c>
    </row>
    <row r="644" spans="1:37">
      <c r="A644" t="s">
        <v>3037</v>
      </c>
      <c r="B644" t="s">
        <v>1948</v>
      </c>
      <c r="C644" t="s">
        <v>37</v>
      </c>
      <c r="D644" t="s">
        <v>3038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3039</v>
      </c>
      <c r="L644" t="s">
        <v>3040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  <c r="W644" t="s">
        <v>3037</v>
      </c>
      <c r="X644" t="str">
        <v>invalid date</v>
      </c>
      <c r="Y644" t="str">
        <v>invalid date</v>
      </c>
      <c r="Z644" t="s">
        <v>3038</v>
      </c>
      <c r="AA644" t="str">
        <v>Isha Nair</v>
      </c>
      <c r="AB644" t="str">
        <f t="shared" si="101"/>
        <v>Home Office</v>
      </c>
      <c r="AC644" t="str">
        <f t="shared" si="102"/>
        <v>East</v>
      </c>
      <c r="AD644" t="str">
        <f t="shared" si="103"/>
        <v>Assam</v>
      </c>
      <c r="AE644" t="str">
        <f t="shared" si="104"/>
        <v>Guwahati</v>
      </c>
      <c r="AF644" t="str">
        <f t="shared" si="105"/>
        <v>Office Supplies</v>
      </c>
      <c r="AG644" t="str">
        <f t="shared" si="106"/>
        <v>Binders</v>
      </c>
      <c r="AH644" t="str">
        <f t="shared" si="107"/>
        <v>Prime Binders 287</v>
      </c>
      <c r="AI644" t="str">
        <f t="shared" si="108"/>
        <v>Second Class</v>
      </c>
      <c r="AJ644" s="3" t="str">
        <f t="shared" si="109"/>
        <v>Invalid</v>
      </c>
      <c r="AK644" t="str">
        <f t="shared" si="110"/>
        <v>invalid date</v>
      </c>
    </row>
    <row r="645" spans="1:37">
      <c r="A645" t="s">
        <v>3041</v>
      </c>
      <c r="B645" t="s">
        <v>3042</v>
      </c>
      <c r="C645" t="s">
        <v>3043</v>
      </c>
      <c r="D645" t="s">
        <v>1095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3044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  <c r="W645" t="s">
        <v>3041</v>
      </c>
      <c r="X645" t="str">
        <v>05-02-24</v>
      </c>
      <c r="Y645" t="str">
        <v>13-02-24</v>
      </c>
      <c r="Z645" t="s">
        <v>1095</v>
      </c>
      <c r="AA645" t="str">
        <v>Aarav Sharma</v>
      </c>
      <c r="AB645" t="str">
        <f t="shared" si="101"/>
        <v>Home Office</v>
      </c>
      <c r="AC645" t="str">
        <f t="shared" si="102"/>
        <v>North</v>
      </c>
      <c r="AD645" t="str">
        <f t="shared" si="103"/>
        <v>Uttar Pradesh</v>
      </c>
      <c r="AE645" t="str">
        <f t="shared" si="104"/>
        <v>Noida</v>
      </c>
      <c r="AF645" t="str">
        <f t="shared" si="105"/>
        <v>Office Supplies</v>
      </c>
      <c r="AG645" t="str">
        <f t="shared" si="106"/>
        <v>Labels</v>
      </c>
      <c r="AH645" t="str">
        <f t="shared" si="107"/>
        <v>Elite Labels 654</v>
      </c>
      <c r="AI645" t="str">
        <f t="shared" si="108"/>
        <v>Standard Class</v>
      </c>
      <c r="AJ645" s="3" t="str">
        <f t="shared" si="109"/>
        <v>anomaly</v>
      </c>
      <c r="AK645">
        <f t="shared" si="110"/>
        <v>8</v>
      </c>
    </row>
    <row r="646" spans="1:37">
      <c r="A646" t="s">
        <v>3045</v>
      </c>
      <c r="B646" t="s">
        <v>2589</v>
      </c>
      <c r="C646" t="s">
        <v>3046</v>
      </c>
      <c r="D646" t="s">
        <v>3047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3048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  <c r="W646" t="s">
        <v>3045</v>
      </c>
      <c r="X646" t="str">
        <v>10-04-25</v>
      </c>
      <c r="Y646" t="str">
        <v>invalid date</v>
      </c>
      <c r="Z646" t="s">
        <v>3047</v>
      </c>
      <c r="AA646" t="str">
        <v>Vikram Iyer</v>
      </c>
      <c r="AB646" t="str">
        <f t="shared" si="101"/>
        <v>Consumer</v>
      </c>
      <c r="AC646" t="str">
        <f t="shared" si="102"/>
        <v>East</v>
      </c>
      <c r="AD646" t="str">
        <f t="shared" si="103"/>
        <v>West Bengal</v>
      </c>
      <c r="AE646" t="str">
        <f t="shared" si="104"/>
        <v>Kolkata</v>
      </c>
      <c r="AF646" t="str">
        <f t="shared" si="105"/>
        <v>Furniture</v>
      </c>
      <c r="AG646" t="str">
        <f t="shared" si="106"/>
        <v>Chairs</v>
      </c>
      <c r="AH646" t="str">
        <f t="shared" si="107"/>
        <v>Pro Chairs 812</v>
      </c>
      <c r="AI646" t="str">
        <f t="shared" si="108"/>
        <v>Standard Class</v>
      </c>
      <c r="AJ646" s="3" t="str">
        <f t="shared" si="109"/>
        <v>Invalid</v>
      </c>
      <c r="AK646" t="str">
        <f t="shared" si="110"/>
        <v>invalid date</v>
      </c>
    </row>
    <row r="647" spans="1:37">
      <c r="A647" t="s">
        <v>3049</v>
      </c>
      <c r="B647" t="s">
        <v>3050</v>
      </c>
      <c r="C647" t="s">
        <v>2743</v>
      </c>
      <c r="D647" t="s">
        <v>3051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3052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  <c r="W647" t="s">
        <v>3049</v>
      </c>
      <c r="X647" t="str">
        <v>04-01-24</v>
      </c>
      <c r="Y647" t="str">
        <v>09-01-24</v>
      </c>
      <c r="Z647" t="s">
        <v>3051</v>
      </c>
      <c r="AA647" t="str">
        <v>Kabir Singh</v>
      </c>
      <c r="AB647" t="str">
        <f t="shared" si="101"/>
        <v>Consumer</v>
      </c>
      <c r="AC647" t="str">
        <f t="shared" si="102"/>
        <v>East</v>
      </c>
      <c r="AD647" t="str">
        <f t="shared" si="103"/>
        <v>Bihar</v>
      </c>
      <c r="AE647" t="str">
        <f t="shared" si="104"/>
        <v>Patna</v>
      </c>
      <c r="AF647" t="str">
        <f t="shared" si="105"/>
        <v>Furniture</v>
      </c>
      <c r="AG647" t="str">
        <f t="shared" si="106"/>
        <v>Chairs</v>
      </c>
      <c r="AH647" t="str">
        <f t="shared" si="107"/>
        <v>Basic Chairs 480</v>
      </c>
      <c r="AI647" t="str">
        <f t="shared" si="108"/>
        <v>Second Class</v>
      </c>
      <c r="AJ647" s="3" t="str">
        <f t="shared" si="109"/>
        <v>anomaly</v>
      </c>
      <c r="AK647">
        <f t="shared" si="110"/>
        <v>5</v>
      </c>
    </row>
    <row r="648" spans="1:37">
      <c r="A648" t="s">
        <v>3053</v>
      </c>
      <c r="B648" t="s">
        <v>3054</v>
      </c>
      <c r="C648" t="s">
        <v>3055</v>
      </c>
      <c r="D648" t="s">
        <v>3056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3057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  <c r="W648" t="s">
        <v>3053</v>
      </c>
      <c r="X648" t="str">
        <v>invalid date</v>
      </c>
      <c r="Y648" t="str">
        <v>24-09-24</v>
      </c>
      <c r="Z648" t="s">
        <v>3056</v>
      </c>
      <c r="AA648" t="str">
        <v>Vikram Iyer</v>
      </c>
      <c r="AB648" t="str">
        <f t="shared" si="101"/>
        <v>Small Business</v>
      </c>
      <c r="AC648" t="str">
        <f t="shared" si="102"/>
        <v>East</v>
      </c>
      <c r="AD648" t="str">
        <f t="shared" si="103"/>
        <v>Jharkhand</v>
      </c>
      <c r="AE648" t="str">
        <f t="shared" si="104"/>
        <v>Ranchi</v>
      </c>
      <c r="AF648" t="str">
        <f t="shared" si="105"/>
        <v>Technology</v>
      </c>
      <c r="AG648" t="str">
        <f t="shared" si="106"/>
        <v>Machines</v>
      </c>
      <c r="AH648" t="str">
        <f t="shared" si="107"/>
        <v>Elite Machines 955</v>
      </c>
      <c r="AI648" t="str">
        <f t="shared" si="108"/>
        <v>First Class</v>
      </c>
      <c r="AJ648" s="3" t="str">
        <f t="shared" si="109"/>
        <v>Invalid</v>
      </c>
      <c r="AK648" t="str">
        <f t="shared" si="110"/>
        <v>invalid date</v>
      </c>
    </row>
    <row r="649" spans="1:37">
      <c r="A649" t="s">
        <v>3058</v>
      </c>
      <c r="B649" t="s">
        <v>1327</v>
      </c>
      <c r="C649" t="s">
        <v>3059</v>
      </c>
      <c r="D649" t="s">
        <v>3060</v>
      </c>
      <c r="E649" t="s">
        <v>3061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3062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  <c r="W649" t="s">
        <v>3058</v>
      </c>
      <c r="X649" t="str">
        <v>01-01-25</v>
      </c>
      <c r="Y649" t="str">
        <v>09-01-25</v>
      </c>
      <c r="Z649" t="s">
        <v>3060</v>
      </c>
      <c r="AA649" t="str">
        <v>Rohan Mehta</v>
      </c>
      <c r="AB649" t="str">
        <f t="shared" si="101"/>
        <v>Small Business</v>
      </c>
      <c r="AC649" t="str">
        <f t="shared" si="102"/>
        <v>North</v>
      </c>
      <c r="AD649" t="str">
        <f t="shared" si="103"/>
        <v>Punjab</v>
      </c>
      <c r="AE649" t="str">
        <f t="shared" si="104"/>
        <v>Ludhiana</v>
      </c>
      <c r="AF649" t="str">
        <f t="shared" si="105"/>
        <v>Office Supplies</v>
      </c>
      <c r="AG649" t="str">
        <f t="shared" si="106"/>
        <v>Art</v>
      </c>
      <c r="AH649" t="str">
        <f t="shared" si="107"/>
        <v>Prime Art 461</v>
      </c>
      <c r="AI649" t="str">
        <f t="shared" si="108"/>
        <v>First Class</v>
      </c>
      <c r="AJ649" s="3" t="str">
        <f t="shared" si="109"/>
        <v>anomaly</v>
      </c>
      <c r="AK649">
        <f t="shared" si="110"/>
        <v>8</v>
      </c>
    </row>
    <row r="650" spans="1:37">
      <c r="A650" t="s">
        <v>3063</v>
      </c>
      <c r="B650" t="s">
        <v>3064</v>
      </c>
      <c r="C650" t="s">
        <v>358</v>
      </c>
      <c r="D650" t="s">
        <v>3065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3066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  <c r="W650" t="s">
        <v>3063</v>
      </c>
      <c r="X650" t="str">
        <v>21-04-24</v>
      </c>
      <c r="Y650" t="str">
        <v>24-04-24</v>
      </c>
      <c r="Z650" t="s">
        <v>3065</v>
      </c>
      <c r="AA650" t="str">
        <v>Neha Gupta</v>
      </c>
      <c r="AB650" t="str">
        <f t="shared" si="101"/>
        <v>Small Business</v>
      </c>
      <c r="AC650" t="str">
        <f t="shared" si="102"/>
        <v>South</v>
      </c>
      <c r="AD650" t="str">
        <f t="shared" si="103"/>
        <v>Andhra Pradesh</v>
      </c>
      <c r="AE650" t="str">
        <f t="shared" si="104"/>
        <v>Vijayawada</v>
      </c>
      <c r="AF650" t="str">
        <f t="shared" si="105"/>
        <v>Office Supplies</v>
      </c>
      <c r="AG650" t="str">
        <f t="shared" si="106"/>
        <v>Art</v>
      </c>
      <c r="AH650" t="str">
        <f t="shared" si="107"/>
        <v>Prime Art 301</v>
      </c>
      <c r="AI650" t="str">
        <f t="shared" si="108"/>
        <v>Same Day</v>
      </c>
      <c r="AJ650" s="3" t="str">
        <f t="shared" si="109"/>
        <v>anomaly</v>
      </c>
      <c r="AK650">
        <f t="shared" si="110"/>
        <v>3</v>
      </c>
    </row>
    <row r="651" spans="1:37">
      <c r="A651" t="s">
        <v>3067</v>
      </c>
      <c r="B651" t="s">
        <v>3068</v>
      </c>
      <c r="C651" t="s">
        <v>3069</v>
      </c>
      <c r="D651" t="s">
        <v>3070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3071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  <c r="W651" t="s">
        <v>3067</v>
      </c>
      <c r="X651" t="str">
        <v>11-08-25</v>
      </c>
      <c r="Y651" t="str">
        <v>19-08-25</v>
      </c>
      <c r="Z651" t="s">
        <v>3070</v>
      </c>
      <c r="AA651" t="str">
        <v>Kabir Singh</v>
      </c>
      <c r="AB651" t="str">
        <f t="shared" si="101"/>
        <v>Small Business</v>
      </c>
      <c r="AC651" t="str">
        <f t="shared" si="102"/>
        <v>South</v>
      </c>
      <c r="AD651" t="str">
        <f t="shared" si="103"/>
        <v>Kerala</v>
      </c>
      <c r="AE651" t="str">
        <f t="shared" si="104"/>
        <v>Kochi</v>
      </c>
      <c r="AF651" t="str">
        <f t="shared" si="105"/>
        <v>Technology</v>
      </c>
      <c r="AG651" t="str">
        <f t="shared" si="106"/>
        <v>Accessories</v>
      </c>
      <c r="AH651" t="str">
        <f t="shared" si="107"/>
        <v>Classic Accessories 354</v>
      </c>
      <c r="AI651" t="str">
        <f t="shared" si="108"/>
        <v>Standard Class</v>
      </c>
      <c r="AJ651" s="3" t="str">
        <f t="shared" si="109"/>
        <v>anomaly</v>
      </c>
      <c r="AK651">
        <f t="shared" si="110"/>
        <v>8</v>
      </c>
    </row>
    <row r="652" spans="1:37">
      <c r="A652" t="s">
        <v>3072</v>
      </c>
      <c r="B652" t="s">
        <v>3073</v>
      </c>
      <c r="C652" t="s">
        <v>3074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3075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  <c r="W652" t="s">
        <v>3072</v>
      </c>
      <c r="X652" t="str">
        <v>invalid date</v>
      </c>
      <c r="Y652" t="str">
        <v>21-04-24</v>
      </c>
      <c r="Z652" t="s">
        <v>547</v>
      </c>
      <c r="AA652" t="str">
        <v>Aarav Sharma</v>
      </c>
      <c r="AB652" t="str">
        <f t="shared" si="101"/>
        <v>Home Office</v>
      </c>
      <c r="AC652" t="str">
        <f t="shared" si="102"/>
        <v>East</v>
      </c>
      <c r="AD652" t="str">
        <f t="shared" si="103"/>
        <v>Bihar</v>
      </c>
      <c r="AE652" t="str">
        <f t="shared" si="104"/>
        <v>Patna</v>
      </c>
      <c r="AF652" t="str">
        <f t="shared" si="105"/>
        <v>Technology</v>
      </c>
      <c r="AG652" t="str">
        <f t="shared" si="106"/>
        <v>Accessories</v>
      </c>
      <c r="AH652" t="str">
        <f t="shared" si="107"/>
        <v>Basic Accessories 210</v>
      </c>
      <c r="AI652" t="str">
        <f t="shared" si="108"/>
        <v>Same Day</v>
      </c>
      <c r="AJ652" s="3" t="str">
        <f t="shared" si="109"/>
        <v>Invalid</v>
      </c>
      <c r="AK652" t="str">
        <f t="shared" si="110"/>
        <v>invalid date</v>
      </c>
    </row>
    <row r="653" spans="1:37">
      <c r="A653" t="s">
        <v>3076</v>
      </c>
      <c r="B653" t="s">
        <v>1369</v>
      </c>
      <c r="C653" t="s">
        <v>3077</v>
      </c>
      <c r="D653" t="s">
        <v>3078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3079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  <c r="W653" t="s">
        <v>3076</v>
      </c>
      <c r="X653" t="str">
        <v>06-08-25</v>
      </c>
      <c r="Y653" t="str">
        <v>09-08-25</v>
      </c>
      <c r="Z653" t="s">
        <v>3078</v>
      </c>
      <c r="AA653" t="str">
        <v>Mira Das</v>
      </c>
      <c r="AB653" t="str">
        <f t="shared" si="101"/>
        <v>Small Business</v>
      </c>
      <c r="AC653" t="str">
        <f t="shared" si="102"/>
        <v>South</v>
      </c>
      <c r="AD653" t="str">
        <f t="shared" si="103"/>
        <v>Andhra Pradesh</v>
      </c>
      <c r="AE653" t="str">
        <f t="shared" si="104"/>
        <v>Vijayawada</v>
      </c>
      <c r="AF653" t="str">
        <f t="shared" si="105"/>
        <v>Office Supplies</v>
      </c>
      <c r="AG653" t="str">
        <f t="shared" si="106"/>
        <v>Paper</v>
      </c>
      <c r="AH653" t="str">
        <f t="shared" si="107"/>
        <v>Smart Paper 364</v>
      </c>
      <c r="AI653" t="str">
        <f t="shared" si="108"/>
        <v>Second Class</v>
      </c>
      <c r="AJ653" s="3" t="str">
        <f t="shared" si="109"/>
        <v>anomaly</v>
      </c>
      <c r="AK653">
        <f t="shared" si="110"/>
        <v>3</v>
      </c>
    </row>
    <row r="654" spans="1:37">
      <c r="A654" t="s">
        <v>3080</v>
      </c>
      <c r="B654" t="s">
        <v>3081</v>
      </c>
      <c r="C654" t="s">
        <v>3082</v>
      </c>
      <c r="D654" t="s">
        <v>2565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3083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  <c r="W654" t="s">
        <v>3080</v>
      </c>
      <c r="X654" t="str">
        <v>invalid date</v>
      </c>
      <c r="Y654" t="str">
        <v>21-03-25</v>
      </c>
      <c r="Z654" t="s">
        <v>2565</v>
      </c>
      <c r="AA654" t="str">
        <v>Sneha Kapoor</v>
      </c>
      <c r="AB654" t="str">
        <f t="shared" si="101"/>
        <v>Consumer</v>
      </c>
      <c r="AC654" t="str">
        <f t="shared" si="102"/>
        <v>North</v>
      </c>
      <c r="AD654" t="str">
        <f t="shared" si="103"/>
        <v>Uttar Pradesh</v>
      </c>
      <c r="AE654" t="str">
        <f t="shared" si="104"/>
        <v>Noida</v>
      </c>
      <c r="AF654" t="str">
        <f t="shared" si="105"/>
        <v>Office Supplies</v>
      </c>
      <c r="AG654" t="str">
        <f t="shared" si="106"/>
        <v>Binders</v>
      </c>
      <c r="AH654" t="str">
        <f t="shared" si="107"/>
        <v>Smart Binders 999</v>
      </c>
      <c r="AI654" t="str">
        <f t="shared" si="108"/>
        <v>Standard Class</v>
      </c>
      <c r="AJ654" s="3" t="str">
        <f t="shared" si="109"/>
        <v>Invalid</v>
      </c>
      <c r="AK654" t="str">
        <f t="shared" si="110"/>
        <v>invalid date</v>
      </c>
    </row>
    <row r="655" spans="1:37">
      <c r="A655" t="s">
        <v>3084</v>
      </c>
      <c r="B655" t="s">
        <v>3085</v>
      </c>
      <c r="C655" t="s">
        <v>3086</v>
      </c>
      <c r="D655" t="s">
        <v>3087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3088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  <c r="W655" t="s">
        <v>3084</v>
      </c>
      <c r="X655" t="str">
        <v>04-04-25</v>
      </c>
      <c r="Y655" t="str">
        <v>04-07-25</v>
      </c>
      <c r="Z655" t="s">
        <v>3087</v>
      </c>
      <c r="AA655" t="str">
        <v>Priya Menon</v>
      </c>
      <c r="AB655" t="str">
        <f t="shared" si="101"/>
        <v>Small Business</v>
      </c>
      <c r="AC655" t="str">
        <f t="shared" si="102"/>
        <v>South</v>
      </c>
      <c r="AD655" t="str">
        <f t="shared" si="103"/>
        <v>Tamil Nadu</v>
      </c>
      <c r="AE655" t="str">
        <f t="shared" si="104"/>
        <v>Chennai</v>
      </c>
      <c r="AF655" t="str">
        <f t="shared" si="105"/>
        <v>Technology</v>
      </c>
      <c r="AG655" t="str">
        <f t="shared" si="106"/>
        <v>Copiers</v>
      </c>
      <c r="AH655" t="str">
        <f t="shared" si="107"/>
        <v>Max Copiers 356</v>
      </c>
      <c r="AI655" t="str">
        <f t="shared" si="108"/>
        <v>Second Class</v>
      </c>
      <c r="AJ655" s="3" t="str">
        <f t="shared" si="109"/>
        <v>anomaly</v>
      </c>
      <c r="AK655">
        <f t="shared" si="110"/>
        <v>91</v>
      </c>
    </row>
    <row r="656" spans="1:37">
      <c r="A656" t="s">
        <v>3089</v>
      </c>
      <c r="B656" t="s">
        <v>3090</v>
      </c>
      <c r="C656" t="s">
        <v>140</v>
      </c>
      <c r="D656" t="s">
        <v>1414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3091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  <c r="W656" t="s">
        <v>3089</v>
      </c>
      <c r="X656" t="str">
        <v>10-12-25</v>
      </c>
      <c r="Y656" t="str">
        <v>16-10-25</v>
      </c>
      <c r="Z656" t="s">
        <v>1414</v>
      </c>
      <c r="AA656" t="str">
        <v>Diya Patel</v>
      </c>
      <c r="AB656" t="str">
        <f t="shared" si="101"/>
        <v>Corporate</v>
      </c>
      <c r="AC656" t="str">
        <f t="shared" si="102"/>
        <v>East</v>
      </c>
      <c r="AD656" t="str">
        <f t="shared" si="103"/>
        <v>Bihar</v>
      </c>
      <c r="AE656" t="str">
        <f t="shared" si="104"/>
        <v>Patna</v>
      </c>
      <c r="AF656" t="str">
        <f t="shared" si="105"/>
        <v>Technology</v>
      </c>
      <c r="AG656" t="str">
        <f t="shared" si="106"/>
        <v>Machines</v>
      </c>
      <c r="AH656" t="str">
        <f t="shared" si="107"/>
        <v>Classic Machines 639</v>
      </c>
      <c r="AI656" t="str">
        <f t="shared" si="108"/>
        <v>Same Day</v>
      </c>
      <c r="AJ656" s="3" t="str">
        <f t="shared" si="109"/>
        <v>anomaly</v>
      </c>
      <c r="AK656">
        <f t="shared" si="110"/>
        <v>-55</v>
      </c>
    </row>
    <row r="657" spans="1:37">
      <c r="A657" t="s">
        <v>3092</v>
      </c>
      <c r="B657" t="s">
        <v>698</v>
      </c>
      <c r="C657" t="s">
        <v>698</v>
      </c>
      <c r="D657" t="s">
        <v>3093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3094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  <c r="W657" t="s">
        <v>3092</v>
      </c>
      <c r="X657" t="str">
        <v>invalid date</v>
      </c>
      <c r="Y657" t="str">
        <v>invalid date</v>
      </c>
      <c r="Z657" t="s">
        <v>3093</v>
      </c>
      <c r="AA657" t="str">
        <v>Neha Gupta</v>
      </c>
      <c r="AB657" t="str">
        <f t="shared" si="101"/>
        <v>Home Office</v>
      </c>
      <c r="AC657" t="str">
        <f t="shared" si="102"/>
        <v>East</v>
      </c>
      <c r="AD657" t="str">
        <f t="shared" si="103"/>
        <v>West Bengal</v>
      </c>
      <c r="AE657" t="str">
        <f t="shared" si="104"/>
        <v>Kolkata</v>
      </c>
      <c r="AF657" t="str">
        <f t="shared" si="105"/>
        <v>Furniture</v>
      </c>
      <c r="AG657" t="str">
        <f t="shared" si="106"/>
        <v>Furnishings</v>
      </c>
      <c r="AH657" t="str">
        <f t="shared" si="107"/>
        <v>Smart Furnishings 748</v>
      </c>
      <c r="AI657" t="str">
        <f t="shared" si="108"/>
        <v>Standard Class</v>
      </c>
      <c r="AJ657" s="3" t="str">
        <f t="shared" si="109"/>
        <v>Invalid</v>
      </c>
      <c r="AK657" t="str">
        <f t="shared" si="110"/>
        <v>invalid date</v>
      </c>
    </row>
    <row r="658" spans="1:37">
      <c r="A658" t="s">
        <v>3095</v>
      </c>
      <c r="B658" t="s">
        <v>3096</v>
      </c>
      <c r="C658" t="s">
        <v>2327</v>
      </c>
      <c r="D658" t="s">
        <v>3097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3098</v>
      </c>
      <c r="M658" t="s">
        <v>48</v>
      </c>
      <c r="N658">
        <v>4</v>
      </c>
      <c r="O658">
        <v>2751.1</v>
      </c>
      <c r="P658" s="5" t="s">
        <v>4117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  <c r="W658" t="s">
        <v>3095</v>
      </c>
      <c r="X658" t="str">
        <v>07-05-24</v>
      </c>
      <c r="Y658" t="str">
        <v>invalid date</v>
      </c>
      <c r="Z658" t="s">
        <v>3097</v>
      </c>
      <c r="AA658" t="str">
        <v>Neha Gupta</v>
      </c>
      <c r="AB658" t="str">
        <f t="shared" si="101"/>
        <v>Small Business</v>
      </c>
      <c r="AC658" t="str">
        <f t="shared" si="102"/>
        <v>North</v>
      </c>
      <c r="AD658" t="str">
        <f t="shared" si="103"/>
        <v>Haryana</v>
      </c>
      <c r="AE658" t="str">
        <f t="shared" si="104"/>
        <v>Gurugram</v>
      </c>
      <c r="AF658" t="str">
        <f t="shared" si="105"/>
        <v>Technology</v>
      </c>
      <c r="AG658" t="str">
        <f t="shared" si="106"/>
        <v>Machines</v>
      </c>
      <c r="AH658" t="str">
        <f t="shared" si="107"/>
        <v>Pro Machines 589</v>
      </c>
      <c r="AI658" t="str">
        <f t="shared" si="108"/>
        <v>Same Day</v>
      </c>
      <c r="AJ658" s="3" t="str">
        <f t="shared" si="109"/>
        <v>Invalid</v>
      </c>
      <c r="AK658" t="str">
        <f t="shared" si="110"/>
        <v>invalid date</v>
      </c>
    </row>
    <row r="659" spans="1:37">
      <c r="A659" t="s">
        <v>3099</v>
      </c>
      <c r="B659" t="s">
        <v>3100</v>
      </c>
      <c r="C659" t="s">
        <v>3101</v>
      </c>
      <c r="D659" t="s">
        <v>3102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3103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  <c r="W659" t="s">
        <v>3099</v>
      </c>
      <c r="X659" t="str">
        <v>08-07-25</v>
      </c>
      <c r="Y659" t="str">
        <v>10-08-25</v>
      </c>
      <c r="Z659" t="s">
        <v>3102</v>
      </c>
      <c r="AA659" t="str">
        <v>Aditi Sen</v>
      </c>
      <c r="AB659" t="str">
        <f t="shared" si="101"/>
        <v>Home Office</v>
      </c>
      <c r="AC659" t="str">
        <f t="shared" si="102"/>
        <v>East</v>
      </c>
      <c r="AD659" t="str">
        <f t="shared" si="103"/>
        <v>Bihar</v>
      </c>
      <c r="AE659" t="str">
        <f t="shared" si="104"/>
        <v>Patna</v>
      </c>
      <c r="AF659" t="str">
        <f t="shared" si="105"/>
        <v>Office Supplies</v>
      </c>
      <c r="AG659" t="str">
        <f t="shared" si="106"/>
        <v>Storage</v>
      </c>
      <c r="AH659" t="str">
        <f t="shared" si="107"/>
        <v>Eco Storage 316</v>
      </c>
      <c r="AI659" t="str">
        <f t="shared" si="108"/>
        <v>Second Class</v>
      </c>
      <c r="AJ659" s="3" t="str">
        <f t="shared" si="109"/>
        <v>anomaly</v>
      </c>
      <c r="AK659">
        <f t="shared" si="110"/>
        <v>33</v>
      </c>
    </row>
    <row r="660" spans="1:37">
      <c r="A660" t="s">
        <v>3104</v>
      </c>
      <c r="B660" t="s">
        <v>3105</v>
      </c>
      <c r="C660" t="s">
        <v>2211</v>
      </c>
      <c r="D660" t="s">
        <v>3106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3107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  <c r="W660" t="s">
        <v>3104</v>
      </c>
      <c r="X660" t="str">
        <v>09-06-25</v>
      </c>
      <c r="Y660" t="str">
        <v>06-12-25</v>
      </c>
      <c r="Z660" t="s">
        <v>3106</v>
      </c>
      <c r="AA660" t="str">
        <v>Sneha Kapoor</v>
      </c>
      <c r="AB660" t="str">
        <f t="shared" si="101"/>
        <v>Consumer</v>
      </c>
      <c r="AC660" s="5" t="s">
        <v>4116</v>
      </c>
      <c r="AD660" t="str">
        <f t="shared" si="103"/>
        <v>Bihar</v>
      </c>
      <c r="AE660" t="str">
        <f t="shared" si="104"/>
        <v>Patna</v>
      </c>
      <c r="AF660" t="str">
        <f t="shared" si="105"/>
        <v>Office Supplies</v>
      </c>
      <c r="AG660" t="str">
        <f t="shared" si="106"/>
        <v>Art</v>
      </c>
      <c r="AH660" t="str">
        <f t="shared" si="107"/>
        <v>Eco Art 763</v>
      </c>
      <c r="AI660" t="str">
        <f t="shared" si="108"/>
        <v>First Class</v>
      </c>
      <c r="AJ660" s="3" t="str">
        <f t="shared" si="109"/>
        <v xml:space="preserve">  </v>
      </c>
      <c r="AK660">
        <f t="shared" si="110"/>
        <v>180</v>
      </c>
    </row>
    <row r="661" spans="1:37">
      <c r="A661" t="s">
        <v>3108</v>
      </c>
      <c r="B661" t="s">
        <v>183</v>
      </c>
      <c r="C661" t="s">
        <v>1835</v>
      </c>
      <c r="D661" t="s">
        <v>3109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3110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  <c r="W661" t="s">
        <v>3108</v>
      </c>
      <c r="X661" t="str">
        <v>21-01-25</v>
      </c>
      <c r="Y661" t="str">
        <v>22-01-25</v>
      </c>
      <c r="Z661" t="s">
        <v>3109</v>
      </c>
      <c r="AA661" t="str">
        <v>Diya Patel</v>
      </c>
      <c r="AB661" t="str">
        <f t="shared" si="101"/>
        <v>Corporate</v>
      </c>
      <c r="AC661" t="str">
        <f t="shared" si="102"/>
        <v>South</v>
      </c>
      <c r="AD661" t="str">
        <f t="shared" si="103"/>
        <v>Karnataka</v>
      </c>
      <c r="AE661" t="str">
        <f t="shared" si="104"/>
        <v>Bengaluru</v>
      </c>
      <c r="AF661" t="str">
        <f t="shared" si="105"/>
        <v>Technology</v>
      </c>
      <c r="AG661" t="str">
        <f t="shared" si="106"/>
        <v>Phones</v>
      </c>
      <c r="AH661" t="str">
        <f t="shared" si="107"/>
        <v>Pro Phones 356</v>
      </c>
      <c r="AI661" t="str">
        <f t="shared" si="108"/>
        <v>Second Class</v>
      </c>
      <c r="AJ661" s="3" t="str">
        <f t="shared" si="109"/>
        <v>anomaly</v>
      </c>
      <c r="AK661">
        <f t="shared" si="110"/>
        <v>1</v>
      </c>
    </row>
    <row r="662" spans="1:37">
      <c r="A662" t="s">
        <v>3111</v>
      </c>
      <c r="B662" t="s">
        <v>171</v>
      </c>
      <c r="C662" t="s">
        <v>3112</v>
      </c>
      <c r="D662" t="s">
        <v>3113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3114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  <c r="W662" t="s">
        <v>3111</v>
      </c>
      <c r="X662" t="str">
        <v>invalid date</v>
      </c>
      <c r="Y662" t="str">
        <v>15-07-25</v>
      </c>
      <c r="Z662" t="s">
        <v>3113</v>
      </c>
      <c r="AA662" t="str">
        <v>Arjun Bose</v>
      </c>
      <c r="AB662" t="str">
        <f t="shared" si="101"/>
        <v>Small Business</v>
      </c>
      <c r="AC662" t="str">
        <f t="shared" si="102"/>
        <v>East</v>
      </c>
      <c r="AD662" t="str">
        <f t="shared" si="103"/>
        <v>Jharkhand</v>
      </c>
      <c r="AE662" t="str">
        <f t="shared" si="104"/>
        <v>Ranchi</v>
      </c>
      <c r="AF662" t="str">
        <f t="shared" si="105"/>
        <v>Technology</v>
      </c>
      <c r="AG662" t="str">
        <f t="shared" si="106"/>
        <v>Phones</v>
      </c>
      <c r="AH662" t="str">
        <f t="shared" si="107"/>
        <v>Basic Phones 865</v>
      </c>
      <c r="AI662" t="str">
        <f t="shared" si="108"/>
        <v>Same Day</v>
      </c>
      <c r="AJ662" s="3" t="str">
        <f t="shared" si="109"/>
        <v>Invalid</v>
      </c>
      <c r="AK662" t="str">
        <f t="shared" si="110"/>
        <v>invalid date</v>
      </c>
    </row>
    <row r="663" spans="1:37">
      <c r="A663" t="s">
        <v>3115</v>
      </c>
      <c r="B663" t="s">
        <v>3116</v>
      </c>
      <c r="C663" t="s">
        <v>3117</v>
      </c>
      <c r="D663" t="s">
        <v>3118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3119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  <c r="W663" t="s">
        <v>3115</v>
      </c>
      <c r="X663" t="str">
        <v>17-05-24</v>
      </c>
      <c r="Y663" t="str">
        <v>22-05-24</v>
      </c>
      <c r="Z663" t="s">
        <v>3118</v>
      </c>
      <c r="AA663" t="str">
        <v>Sneha Kapoor</v>
      </c>
      <c r="AB663" t="str">
        <f t="shared" si="101"/>
        <v>Consumer</v>
      </c>
      <c r="AC663" t="str">
        <f t="shared" si="102"/>
        <v>South</v>
      </c>
      <c r="AD663" t="str">
        <f t="shared" si="103"/>
        <v>Andhra Pradesh</v>
      </c>
      <c r="AE663" t="str">
        <f t="shared" si="104"/>
        <v>Vijayawada</v>
      </c>
      <c r="AF663" t="str">
        <f t="shared" si="105"/>
        <v>Technology</v>
      </c>
      <c r="AG663" t="str">
        <f t="shared" si="106"/>
        <v>Machines</v>
      </c>
      <c r="AH663" t="str">
        <f t="shared" si="107"/>
        <v>Max Machines 595</v>
      </c>
      <c r="AI663" t="str">
        <f t="shared" si="108"/>
        <v>Second Class</v>
      </c>
      <c r="AJ663" s="3" t="str">
        <f t="shared" si="109"/>
        <v>anomaly</v>
      </c>
      <c r="AK663">
        <f t="shared" si="110"/>
        <v>5</v>
      </c>
    </row>
    <row r="664" spans="1:37">
      <c r="A664" t="s">
        <v>3120</v>
      </c>
      <c r="B664" t="s">
        <v>3121</v>
      </c>
      <c r="C664" t="s">
        <v>3122</v>
      </c>
      <c r="D664" t="s">
        <v>3123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3124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  <c r="W664" t="s">
        <v>3120</v>
      </c>
      <c r="X664" t="str">
        <v>14-01-24</v>
      </c>
      <c r="Y664" t="str">
        <v>18-01-24</v>
      </c>
      <c r="Z664" t="s">
        <v>3123</v>
      </c>
      <c r="AA664" t="str">
        <v>Mira Das</v>
      </c>
      <c r="AB664" t="str">
        <f t="shared" si="101"/>
        <v>Home Office</v>
      </c>
      <c r="AC664" t="str">
        <f t="shared" si="102"/>
        <v>West</v>
      </c>
      <c r="AD664" t="str">
        <f t="shared" si="103"/>
        <v>Rajasthan</v>
      </c>
      <c r="AE664" t="str">
        <f t="shared" si="104"/>
        <v>Udaipur</v>
      </c>
      <c r="AF664" t="str">
        <f t="shared" si="105"/>
        <v>Technology</v>
      </c>
      <c r="AG664" t="str">
        <f t="shared" si="106"/>
        <v>Machines</v>
      </c>
      <c r="AH664" t="str">
        <f t="shared" si="107"/>
        <v>Elite Machines 367</v>
      </c>
      <c r="AI664" t="str">
        <f t="shared" si="108"/>
        <v>Same Day</v>
      </c>
      <c r="AJ664" s="3" t="str">
        <f t="shared" si="109"/>
        <v>anomaly</v>
      </c>
      <c r="AK664">
        <f t="shared" si="110"/>
        <v>4</v>
      </c>
    </row>
    <row r="665" spans="1:37">
      <c r="A665" t="s">
        <v>3125</v>
      </c>
      <c r="B665" t="s">
        <v>1223</v>
      </c>
      <c r="C665" t="s">
        <v>2680</v>
      </c>
      <c r="D665" t="s">
        <v>3126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3127</v>
      </c>
      <c r="M665" t="s">
        <v>33</v>
      </c>
      <c r="N665">
        <v>2</v>
      </c>
      <c r="O665">
        <v>3185.01</v>
      </c>
      <c r="P665" s="5" t="s">
        <v>4117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  <c r="W665" t="s">
        <v>3125</v>
      </c>
      <c r="X665" t="str">
        <v>05-02-24</v>
      </c>
      <c r="Y665" t="str">
        <v>08-05-24</v>
      </c>
      <c r="Z665" t="s">
        <v>3126</v>
      </c>
      <c r="AA665" t="str">
        <v>Rahul Verma</v>
      </c>
      <c r="AB665" t="str">
        <f t="shared" si="101"/>
        <v>Home Office</v>
      </c>
      <c r="AC665" t="str">
        <f t="shared" si="102"/>
        <v>East</v>
      </c>
      <c r="AD665" t="str">
        <f t="shared" si="103"/>
        <v>Jharkhand</v>
      </c>
      <c r="AE665" t="str">
        <f t="shared" si="104"/>
        <v>Ranchi</v>
      </c>
      <c r="AF665" t="str">
        <f t="shared" si="105"/>
        <v>Technology</v>
      </c>
      <c r="AG665" t="str">
        <f t="shared" si="106"/>
        <v>Copiers</v>
      </c>
      <c r="AH665" t="str">
        <f t="shared" si="107"/>
        <v>Basic Copiers 787</v>
      </c>
      <c r="AI665" t="str">
        <f t="shared" si="108"/>
        <v>Second Class</v>
      </c>
      <c r="AJ665" s="3" t="str">
        <f t="shared" si="109"/>
        <v>anomaly</v>
      </c>
      <c r="AK665">
        <f t="shared" si="110"/>
        <v>93</v>
      </c>
    </row>
    <row r="666" spans="1:37">
      <c r="A666" t="s">
        <v>3128</v>
      </c>
      <c r="B666" t="s">
        <v>3129</v>
      </c>
      <c r="C666" t="s">
        <v>3130</v>
      </c>
      <c r="D666" t="s">
        <v>3131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3132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  <c r="W666" t="s">
        <v>3128</v>
      </c>
      <c r="X666" t="str">
        <v>07-12-24</v>
      </c>
      <c r="Y666" t="str">
        <v>10-12-24</v>
      </c>
      <c r="Z666" t="s">
        <v>3131</v>
      </c>
      <c r="AA666" t="str">
        <v>Mira Das</v>
      </c>
      <c r="AB666" t="str">
        <f t="shared" si="101"/>
        <v>Home Office</v>
      </c>
      <c r="AC666" t="str">
        <f t="shared" si="102"/>
        <v>South</v>
      </c>
      <c r="AD666" t="str">
        <f t="shared" si="103"/>
        <v>Telangana</v>
      </c>
      <c r="AE666" t="str">
        <f t="shared" si="104"/>
        <v>Hyderabad</v>
      </c>
      <c r="AF666" t="str">
        <f t="shared" si="105"/>
        <v>Technology</v>
      </c>
      <c r="AG666" t="str">
        <f t="shared" si="106"/>
        <v>Accessories</v>
      </c>
      <c r="AH666" t="str">
        <f t="shared" si="107"/>
        <v>Max Accessories 903</v>
      </c>
      <c r="AI666" t="str">
        <f t="shared" si="108"/>
        <v>Standard Class</v>
      </c>
      <c r="AJ666" s="3" t="str">
        <f t="shared" si="109"/>
        <v>anomaly</v>
      </c>
      <c r="AK666">
        <f t="shared" si="110"/>
        <v>3</v>
      </c>
    </row>
    <row r="667" spans="1:37">
      <c r="A667" t="s">
        <v>3133</v>
      </c>
      <c r="B667" t="s">
        <v>3134</v>
      </c>
      <c r="C667" t="s">
        <v>3135</v>
      </c>
      <c r="D667" t="s">
        <v>3136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3137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  <c r="W667" t="s">
        <v>3133</v>
      </c>
      <c r="X667" t="str">
        <v>13-01-25</v>
      </c>
      <c r="Y667" t="str">
        <v>invalid date</v>
      </c>
      <c r="Z667" t="s">
        <v>3136</v>
      </c>
      <c r="AA667" t="str">
        <v>Rahul Verma</v>
      </c>
      <c r="AB667" t="str">
        <f t="shared" si="101"/>
        <v>Home Office</v>
      </c>
      <c r="AC667" t="str">
        <f t="shared" si="102"/>
        <v>West</v>
      </c>
      <c r="AD667" t="str">
        <f t="shared" si="103"/>
        <v>Gujarat</v>
      </c>
      <c r="AE667" t="str">
        <f t="shared" si="104"/>
        <v>Ahmedabad</v>
      </c>
      <c r="AF667" t="str">
        <f t="shared" si="105"/>
        <v>Office Supplies</v>
      </c>
      <c r="AG667" t="str">
        <f t="shared" si="106"/>
        <v>Art</v>
      </c>
      <c r="AH667" t="str">
        <f t="shared" si="107"/>
        <v>Max Art 660</v>
      </c>
      <c r="AI667" t="str">
        <f t="shared" si="108"/>
        <v>Standard Class</v>
      </c>
      <c r="AJ667" s="3" t="str">
        <f t="shared" si="109"/>
        <v>Invalid</v>
      </c>
      <c r="AK667" t="str">
        <f t="shared" si="110"/>
        <v>invalid date</v>
      </c>
    </row>
    <row r="668" spans="1:37">
      <c r="A668" t="s">
        <v>3138</v>
      </c>
      <c r="B668" t="s">
        <v>2150</v>
      </c>
      <c r="C668" t="s">
        <v>2092</v>
      </c>
      <c r="D668" t="s">
        <v>3139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3140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  <c r="W668" t="s">
        <v>3138</v>
      </c>
      <c r="X668" t="str">
        <v>21-06-24</v>
      </c>
      <c r="Y668" t="str">
        <v>invalid date</v>
      </c>
      <c r="Z668" t="s">
        <v>3139</v>
      </c>
      <c r="AA668" t="str">
        <v>Rohan Mehta</v>
      </c>
      <c r="AB668" t="str">
        <f t="shared" si="101"/>
        <v>Small Business</v>
      </c>
      <c r="AC668" t="str">
        <f t="shared" si="102"/>
        <v>North</v>
      </c>
      <c r="AD668" t="str">
        <f t="shared" si="103"/>
        <v>Punjab</v>
      </c>
      <c r="AE668" t="str">
        <f t="shared" si="104"/>
        <v>Ludhiana</v>
      </c>
      <c r="AF668" t="str">
        <f t="shared" si="105"/>
        <v>Technology</v>
      </c>
      <c r="AG668" t="str">
        <f t="shared" si="106"/>
        <v>Copiers</v>
      </c>
      <c r="AH668" t="str">
        <f t="shared" si="107"/>
        <v>Classic Copiers 908</v>
      </c>
      <c r="AI668" t="str">
        <f t="shared" si="108"/>
        <v>Same Day</v>
      </c>
      <c r="AJ668" s="3" t="str">
        <f t="shared" si="109"/>
        <v>Invalid</v>
      </c>
      <c r="AK668" t="str">
        <f t="shared" si="110"/>
        <v>invalid date</v>
      </c>
    </row>
    <row r="669" spans="1:37">
      <c r="A669" t="s">
        <v>3141</v>
      </c>
      <c r="B669" t="s">
        <v>3142</v>
      </c>
      <c r="C669" t="s">
        <v>3143</v>
      </c>
      <c r="D669" t="s">
        <v>3144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3145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  <c r="W669" t="s">
        <v>3141</v>
      </c>
      <c r="X669" t="str">
        <v>20-05-25</v>
      </c>
      <c r="Y669" t="str">
        <v>27-05-25</v>
      </c>
      <c r="Z669" t="s">
        <v>3144</v>
      </c>
      <c r="AA669" t="str">
        <v>Diya Patel</v>
      </c>
      <c r="AB669" t="str">
        <f t="shared" si="101"/>
        <v>Small Business</v>
      </c>
      <c r="AC669" t="str">
        <f t="shared" si="102"/>
        <v>East</v>
      </c>
      <c r="AD669" t="str">
        <f t="shared" si="103"/>
        <v>Bihar</v>
      </c>
      <c r="AE669" t="str">
        <f t="shared" si="104"/>
        <v>Patna</v>
      </c>
      <c r="AF669" t="str">
        <f t="shared" si="105"/>
        <v>Technology</v>
      </c>
      <c r="AG669" t="str">
        <f t="shared" si="106"/>
        <v>Machines</v>
      </c>
      <c r="AH669" t="str">
        <f t="shared" si="107"/>
        <v>Pro Machines 706</v>
      </c>
      <c r="AI669" t="str">
        <f t="shared" si="108"/>
        <v>Standard Class</v>
      </c>
      <c r="AJ669" s="3" t="str">
        <f t="shared" si="109"/>
        <v>anomaly</v>
      </c>
      <c r="AK669">
        <f t="shared" si="110"/>
        <v>7</v>
      </c>
    </row>
    <row r="670" spans="1:37">
      <c r="A670" t="s">
        <v>3146</v>
      </c>
      <c r="B670" t="s">
        <v>3147</v>
      </c>
      <c r="C670" t="s">
        <v>221</v>
      </c>
      <c r="D670" t="s">
        <v>3148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3149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  <c r="W670" t="s">
        <v>3146</v>
      </c>
      <c r="X670" t="str">
        <v>invalid date</v>
      </c>
      <c r="Y670" t="str">
        <v>23-11-24</v>
      </c>
      <c r="Z670" t="s">
        <v>3148</v>
      </c>
      <c r="AA670" t="str">
        <v>Mira Das</v>
      </c>
      <c r="AB670" t="str">
        <f t="shared" si="101"/>
        <v>Corporate</v>
      </c>
      <c r="AC670" t="str">
        <f t="shared" si="102"/>
        <v>West</v>
      </c>
      <c r="AD670" t="str">
        <f t="shared" si="103"/>
        <v>Gujarat</v>
      </c>
      <c r="AE670" t="str">
        <f t="shared" si="104"/>
        <v>Ahmedabad</v>
      </c>
      <c r="AF670" t="str">
        <f t="shared" si="105"/>
        <v>Office Supplies</v>
      </c>
      <c r="AG670" t="str">
        <f t="shared" si="106"/>
        <v>Paper</v>
      </c>
      <c r="AH670" t="str">
        <f t="shared" si="107"/>
        <v>Pro Paper 187</v>
      </c>
      <c r="AI670" t="str">
        <f t="shared" si="108"/>
        <v>Second Class</v>
      </c>
      <c r="AJ670" s="3" t="str">
        <f t="shared" si="109"/>
        <v>Invalid</v>
      </c>
      <c r="AK670" t="str">
        <f t="shared" si="110"/>
        <v>invalid date</v>
      </c>
    </row>
    <row r="671" spans="1:37">
      <c r="A671" t="s">
        <v>3150</v>
      </c>
      <c r="B671" t="s">
        <v>3151</v>
      </c>
      <c r="C671" t="s">
        <v>3152</v>
      </c>
      <c r="D671" t="s">
        <v>3153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3154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  <c r="W671" t="s">
        <v>3150</v>
      </c>
      <c r="X671" t="str">
        <v>24-03-24</v>
      </c>
      <c r="Y671" t="str">
        <v>01-04-24</v>
      </c>
      <c r="Z671" t="s">
        <v>3153</v>
      </c>
      <c r="AA671" t="str">
        <v>Ananya Rao</v>
      </c>
      <c r="AB671" t="str">
        <f t="shared" si="101"/>
        <v>Home Office</v>
      </c>
      <c r="AC671" t="str">
        <f t="shared" si="102"/>
        <v>West</v>
      </c>
      <c r="AD671" t="str">
        <f t="shared" si="103"/>
        <v>Maharashtra</v>
      </c>
      <c r="AE671" t="str">
        <f t="shared" si="104"/>
        <v>Mumbai</v>
      </c>
      <c r="AF671" t="str">
        <f t="shared" si="105"/>
        <v>Furniture</v>
      </c>
      <c r="AG671" t="str">
        <f t="shared" si="106"/>
        <v>Tables</v>
      </c>
      <c r="AH671" t="str">
        <f t="shared" si="107"/>
        <v>Classic Tables 606</v>
      </c>
      <c r="AI671" t="str">
        <f t="shared" si="108"/>
        <v>Second Class</v>
      </c>
      <c r="AJ671" s="3" t="str">
        <f t="shared" si="109"/>
        <v xml:space="preserve">  </v>
      </c>
      <c r="AK671">
        <f t="shared" si="110"/>
        <v>8</v>
      </c>
    </row>
    <row r="672" spans="1:37">
      <c r="A672" t="s">
        <v>3155</v>
      </c>
      <c r="B672" t="s">
        <v>3156</v>
      </c>
      <c r="C672" t="s">
        <v>2954</v>
      </c>
      <c r="D672" t="s">
        <v>2429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3157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  <c r="W672" t="s">
        <v>3155</v>
      </c>
      <c r="X672" t="str">
        <v>02-02-25</v>
      </c>
      <c r="Y672" t="str">
        <v>06-02-25</v>
      </c>
      <c r="Z672" t="s">
        <v>2429</v>
      </c>
      <c r="AA672" t="str">
        <v>Sneha Kapoor</v>
      </c>
      <c r="AB672" t="str">
        <f t="shared" si="101"/>
        <v>Corporate</v>
      </c>
      <c r="AC672" t="str">
        <f t="shared" si="102"/>
        <v>North</v>
      </c>
      <c r="AD672" t="str">
        <f t="shared" si="103"/>
        <v>Uttar Pradesh</v>
      </c>
      <c r="AE672" t="str">
        <f t="shared" si="104"/>
        <v>Noida</v>
      </c>
      <c r="AF672" t="str">
        <f t="shared" si="105"/>
        <v>Furniture</v>
      </c>
      <c r="AG672" t="str">
        <f t="shared" si="106"/>
        <v>Tables</v>
      </c>
      <c r="AH672" t="str">
        <f t="shared" si="107"/>
        <v>Smart Tables 835</v>
      </c>
      <c r="AI672" t="str">
        <f t="shared" si="108"/>
        <v>Standard Class</v>
      </c>
      <c r="AJ672" s="3" t="str">
        <f t="shared" si="109"/>
        <v>anomaly</v>
      </c>
      <c r="AK672">
        <f t="shared" si="110"/>
        <v>4</v>
      </c>
    </row>
    <row r="673" spans="1:37">
      <c r="A673" t="s">
        <v>3158</v>
      </c>
      <c r="B673" t="s">
        <v>3159</v>
      </c>
      <c r="C673" t="s">
        <v>3160</v>
      </c>
      <c r="D673" t="s">
        <v>3161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3162</v>
      </c>
      <c r="L673" t="s">
        <v>3163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  <c r="W673" t="s">
        <v>3158</v>
      </c>
      <c r="X673" t="str">
        <v>22-03-24</v>
      </c>
      <c r="Y673" t="str">
        <v>27-03-24</v>
      </c>
      <c r="Z673" t="s">
        <v>3161</v>
      </c>
      <c r="AA673" t="str">
        <v>Aditi Sen</v>
      </c>
      <c r="AB673" t="str">
        <f t="shared" si="101"/>
        <v>Home Office</v>
      </c>
      <c r="AC673" t="str">
        <f t="shared" si="102"/>
        <v>West</v>
      </c>
      <c r="AD673" t="str">
        <f t="shared" si="103"/>
        <v>Goa</v>
      </c>
      <c r="AE673" t="str">
        <f t="shared" si="104"/>
        <v>Panaji</v>
      </c>
      <c r="AF673" t="str">
        <f t="shared" si="105"/>
        <v>Technology</v>
      </c>
      <c r="AG673" t="str">
        <f t="shared" si="106"/>
        <v>Copiers</v>
      </c>
      <c r="AH673" t="str">
        <f t="shared" si="107"/>
        <v>Classic Copiers 583</v>
      </c>
      <c r="AI673" t="str">
        <f t="shared" si="108"/>
        <v>Second Class</v>
      </c>
      <c r="AJ673" s="3" t="str">
        <f t="shared" si="109"/>
        <v>anomaly</v>
      </c>
      <c r="AK673">
        <f t="shared" si="110"/>
        <v>5</v>
      </c>
    </row>
    <row r="674" spans="1:37">
      <c r="A674" t="s">
        <v>3164</v>
      </c>
      <c r="B674" t="s">
        <v>3165</v>
      </c>
      <c r="C674" t="s">
        <v>3166</v>
      </c>
      <c r="D674" t="s">
        <v>3167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3168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  <c r="W674" t="s">
        <v>3164</v>
      </c>
      <c r="X674" t="str">
        <v>04-09-24</v>
      </c>
      <c r="Y674" t="str">
        <v>05-09-24</v>
      </c>
      <c r="Z674" t="s">
        <v>3167</v>
      </c>
      <c r="AA674" t="str">
        <v>Aditi Sen</v>
      </c>
      <c r="AB674" t="str">
        <f t="shared" si="101"/>
        <v>Corporate</v>
      </c>
      <c r="AC674" t="str">
        <f t="shared" si="102"/>
        <v>West</v>
      </c>
      <c r="AD674" t="str">
        <f t="shared" si="103"/>
        <v>Madhya Pradesh</v>
      </c>
      <c r="AE674" t="str">
        <f t="shared" si="104"/>
        <v>Indore</v>
      </c>
      <c r="AF674" t="str">
        <f t="shared" si="105"/>
        <v>Furniture</v>
      </c>
      <c r="AG674" t="str">
        <f t="shared" si="106"/>
        <v>Chairs</v>
      </c>
      <c r="AH674" t="str">
        <f t="shared" si="107"/>
        <v>Classic Chairs 460</v>
      </c>
      <c r="AI674" t="str">
        <f t="shared" si="108"/>
        <v>Standard Class</v>
      </c>
      <c r="AJ674" s="3" t="str">
        <f t="shared" si="109"/>
        <v>anomaly</v>
      </c>
      <c r="AK674">
        <f t="shared" si="110"/>
        <v>1</v>
      </c>
    </row>
    <row r="675" spans="1:37">
      <c r="A675" t="s">
        <v>3169</v>
      </c>
      <c r="B675" t="s">
        <v>2399</v>
      </c>
      <c r="C675" t="s">
        <v>3170</v>
      </c>
      <c r="D675" t="s">
        <v>3171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3172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  <c r="W675" t="s">
        <v>3169</v>
      </c>
      <c r="X675" t="str">
        <v>13-02-25</v>
      </c>
      <c r="Y675" t="str">
        <v>16-02-25</v>
      </c>
      <c r="Z675" t="s">
        <v>3171</v>
      </c>
      <c r="AA675" t="str">
        <v>Arjun Bose</v>
      </c>
      <c r="AB675" t="str">
        <f t="shared" si="101"/>
        <v>Small Business</v>
      </c>
      <c r="AC675" t="str">
        <f t="shared" si="102"/>
        <v>West</v>
      </c>
      <c r="AD675" t="str">
        <f t="shared" si="103"/>
        <v>Rajasthan</v>
      </c>
      <c r="AE675" t="str">
        <f t="shared" si="104"/>
        <v>Udaipur</v>
      </c>
      <c r="AF675" t="str">
        <f t="shared" si="105"/>
        <v>Furniture</v>
      </c>
      <c r="AG675" t="str">
        <f t="shared" si="106"/>
        <v>Bookcases</v>
      </c>
      <c r="AH675" t="str">
        <f t="shared" si="107"/>
        <v>Classic Bookcases 488</v>
      </c>
      <c r="AI675" t="str">
        <f t="shared" si="108"/>
        <v>Second Class</v>
      </c>
      <c r="AJ675" s="3" t="str">
        <f t="shared" si="109"/>
        <v>anomaly</v>
      </c>
      <c r="AK675">
        <f t="shared" si="110"/>
        <v>3</v>
      </c>
    </row>
    <row r="676" spans="1:37">
      <c r="A676" t="s">
        <v>3173</v>
      </c>
      <c r="B676" t="s">
        <v>3174</v>
      </c>
      <c r="C676" t="s">
        <v>3175</v>
      </c>
      <c r="D676" t="s">
        <v>3176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3177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  <c r="W676" t="s">
        <v>3173</v>
      </c>
      <c r="X676" t="str">
        <v>18-05-24</v>
      </c>
      <c r="Y676" t="str">
        <v>21-05-24</v>
      </c>
      <c r="Z676" t="s">
        <v>3176</v>
      </c>
      <c r="AA676" t="str">
        <v>Vikram Iyer</v>
      </c>
      <c r="AB676" t="str">
        <f t="shared" si="101"/>
        <v>Corporate</v>
      </c>
      <c r="AC676" t="str">
        <f t="shared" si="102"/>
        <v>East</v>
      </c>
      <c r="AD676" t="str">
        <f t="shared" si="103"/>
        <v>Jharkhand</v>
      </c>
      <c r="AE676" t="str">
        <f t="shared" si="104"/>
        <v>Ranchi</v>
      </c>
      <c r="AF676" t="str">
        <f t="shared" si="105"/>
        <v>Technology</v>
      </c>
      <c r="AG676" t="str">
        <f t="shared" si="106"/>
        <v>Accessories</v>
      </c>
      <c r="AH676" t="str">
        <f t="shared" si="107"/>
        <v>Basic Accessories 944</v>
      </c>
      <c r="AI676" t="str">
        <f t="shared" si="108"/>
        <v>Second Class</v>
      </c>
      <c r="AJ676" s="3" t="str">
        <f t="shared" si="109"/>
        <v>anomaly</v>
      </c>
      <c r="AK676">
        <f t="shared" si="110"/>
        <v>3</v>
      </c>
    </row>
    <row r="677" spans="1:37">
      <c r="A677" t="s">
        <v>3178</v>
      </c>
      <c r="B677" t="s">
        <v>3179</v>
      </c>
      <c r="C677" t="s">
        <v>3180</v>
      </c>
      <c r="D677" t="s">
        <v>3031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3181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  <c r="W677" t="s">
        <v>3178</v>
      </c>
      <c r="X677" t="str">
        <v>07-06-25</v>
      </c>
      <c r="Y677" t="str">
        <v>06-10-25</v>
      </c>
      <c r="Z677" t="s">
        <v>3031</v>
      </c>
      <c r="AA677" t="str">
        <v>Aarav Sharma</v>
      </c>
      <c r="AB677" t="str">
        <f t="shared" si="101"/>
        <v>Consumer</v>
      </c>
      <c r="AC677" t="str">
        <f t="shared" si="102"/>
        <v>North</v>
      </c>
      <c r="AD677" t="str">
        <f t="shared" si="103"/>
        <v>Rajasthan</v>
      </c>
      <c r="AE677" t="str">
        <f t="shared" si="104"/>
        <v>Jaipur</v>
      </c>
      <c r="AF677" t="str">
        <f t="shared" si="105"/>
        <v>Furniture</v>
      </c>
      <c r="AG677" t="str">
        <f t="shared" si="106"/>
        <v>Furnishings</v>
      </c>
      <c r="AH677" t="str">
        <f t="shared" si="107"/>
        <v>Eco Furnishings 217</v>
      </c>
      <c r="AI677" t="str">
        <f t="shared" si="108"/>
        <v>Same Day</v>
      </c>
      <c r="AJ677" s="3" t="str">
        <f t="shared" si="109"/>
        <v xml:space="preserve">  </v>
      </c>
      <c r="AK677">
        <f t="shared" si="110"/>
        <v>121</v>
      </c>
    </row>
    <row r="678" spans="1:37">
      <c r="A678" t="s">
        <v>3182</v>
      </c>
      <c r="B678" t="s">
        <v>3183</v>
      </c>
      <c r="C678" t="s">
        <v>3184</v>
      </c>
      <c r="D678" t="s">
        <v>3185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3186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  <c r="W678" t="s">
        <v>3182</v>
      </c>
      <c r="X678" t="str">
        <v>09-11-25</v>
      </c>
      <c r="Y678" t="str">
        <v>invalid date</v>
      </c>
      <c r="Z678" t="s">
        <v>3185</v>
      </c>
      <c r="AA678" t="str">
        <v>Rahul Verma</v>
      </c>
      <c r="AB678" t="str">
        <f t="shared" si="101"/>
        <v>Small Business</v>
      </c>
      <c r="AC678" t="str">
        <f t="shared" si="102"/>
        <v>North</v>
      </c>
      <c r="AD678" t="str">
        <f t="shared" si="103"/>
        <v>Delhi</v>
      </c>
      <c r="AE678" t="str">
        <f t="shared" si="104"/>
        <v>New Delhi</v>
      </c>
      <c r="AF678" t="str">
        <f t="shared" si="105"/>
        <v>Technology</v>
      </c>
      <c r="AG678" t="str">
        <f t="shared" si="106"/>
        <v>Phones</v>
      </c>
      <c r="AH678" t="str">
        <f t="shared" si="107"/>
        <v>Smart Phones 967</v>
      </c>
      <c r="AI678" t="str">
        <f t="shared" si="108"/>
        <v>Same Day</v>
      </c>
      <c r="AJ678" s="3" t="str">
        <f t="shared" si="109"/>
        <v>Invalid</v>
      </c>
      <c r="AK678" t="str">
        <f t="shared" si="110"/>
        <v>invalid date</v>
      </c>
    </row>
    <row r="679" spans="1:37">
      <c r="A679" t="s">
        <v>3187</v>
      </c>
      <c r="B679" t="s">
        <v>3188</v>
      </c>
      <c r="C679" t="s">
        <v>3189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3190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  <c r="W679" t="s">
        <v>3187</v>
      </c>
      <c r="X679" t="str">
        <v>22-06-24</v>
      </c>
      <c r="Y679" t="str">
        <v>27-06-24</v>
      </c>
      <c r="Z679" t="s">
        <v>24</v>
      </c>
      <c r="AA679" t="str">
        <v>Isha Nair</v>
      </c>
      <c r="AB679" t="str">
        <f t="shared" si="101"/>
        <v>Home Office</v>
      </c>
      <c r="AC679" t="str">
        <f t="shared" si="102"/>
        <v>South</v>
      </c>
      <c r="AD679" t="str">
        <f t="shared" si="103"/>
        <v>Karnataka</v>
      </c>
      <c r="AE679" t="str">
        <f t="shared" si="104"/>
        <v>Bengaluru</v>
      </c>
      <c r="AF679" t="str">
        <f t="shared" si="105"/>
        <v>Furniture</v>
      </c>
      <c r="AG679" t="str">
        <f t="shared" si="106"/>
        <v>Chairs</v>
      </c>
      <c r="AH679" t="str">
        <f t="shared" si="107"/>
        <v>Smart Chairs 610</v>
      </c>
      <c r="AI679" t="str">
        <f t="shared" si="108"/>
        <v>Same Day</v>
      </c>
      <c r="AJ679" s="3" t="str">
        <f t="shared" si="109"/>
        <v>anomaly</v>
      </c>
      <c r="AK679">
        <f t="shared" si="110"/>
        <v>5</v>
      </c>
    </row>
    <row r="680" spans="1:37">
      <c r="A680" t="s">
        <v>3191</v>
      </c>
      <c r="B680" t="s">
        <v>3192</v>
      </c>
      <c r="C680" t="s">
        <v>3193</v>
      </c>
      <c r="D680" t="s">
        <v>3194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3195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  <c r="W680" t="s">
        <v>3191</v>
      </c>
      <c r="X680" t="str">
        <v>24-11-24</v>
      </c>
      <c r="Y680" t="str">
        <v>12-01-24</v>
      </c>
      <c r="Z680" t="s">
        <v>3194</v>
      </c>
      <c r="AA680" t="str">
        <v>Kabir Singh</v>
      </c>
      <c r="AB680" t="str">
        <f t="shared" si="101"/>
        <v>Corporate</v>
      </c>
      <c r="AC680" t="str">
        <f t="shared" si="102"/>
        <v>South</v>
      </c>
      <c r="AD680" t="str">
        <f t="shared" si="103"/>
        <v>Karnataka</v>
      </c>
      <c r="AE680" t="str">
        <f t="shared" si="104"/>
        <v>Bengaluru</v>
      </c>
      <c r="AF680" t="str">
        <f t="shared" si="105"/>
        <v>Furniture</v>
      </c>
      <c r="AG680" t="str">
        <f t="shared" si="106"/>
        <v>Tables</v>
      </c>
      <c r="AH680" t="str">
        <f t="shared" si="107"/>
        <v>Prime Tables 123</v>
      </c>
      <c r="AI680" t="str">
        <f t="shared" si="108"/>
        <v>Second Class</v>
      </c>
      <c r="AJ680" s="3" t="str">
        <f t="shared" si="109"/>
        <v xml:space="preserve">  </v>
      </c>
      <c r="AK680">
        <f t="shared" si="110"/>
        <v>-317</v>
      </c>
    </row>
    <row r="681" spans="1:37">
      <c r="A681" t="s">
        <v>3196</v>
      </c>
      <c r="B681" t="s">
        <v>3197</v>
      </c>
      <c r="C681" t="s">
        <v>640</v>
      </c>
      <c r="D681" t="s">
        <v>3198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3199</v>
      </c>
      <c r="M681" t="s">
        <v>48</v>
      </c>
      <c r="N681">
        <v>4</v>
      </c>
      <c r="O681">
        <v>1410.57</v>
      </c>
      <c r="P681" s="6" t="s">
        <v>4117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  <c r="W681" t="s">
        <v>3196</v>
      </c>
      <c r="X681" t="str">
        <v>16-08-25</v>
      </c>
      <c r="Y681" t="str">
        <v>23-08-25</v>
      </c>
      <c r="Z681" t="s">
        <v>3198</v>
      </c>
      <c r="AA681" t="str">
        <v>Rohan Mehta</v>
      </c>
      <c r="AB681" t="str">
        <f t="shared" si="101"/>
        <v>Corporate</v>
      </c>
      <c r="AC681" t="str">
        <f t="shared" si="102"/>
        <v>North</v>
      </c>
      <c r="AD681" t="str">
        <f t="shared" si="103"/>
        <v>Punjab</v>
      </c>
      <c r="AE681" t="str">
        <f t="shared" si="104"/>
        <v>Ludhiana</v>
      </c>
      <c r="AF681" t="str">
        <f t="shared" si="105"/>
        <v>Technology</v>
      </c>
      <c r="AG681" t="str">
        <f t="shared" si="106"/>
        <v>Copiers</v>
      </c>
      <c r="AH681" t="str">
        <f t="shared" si="107"/>
        <v>Smart Copiers 579</v>
      </c>
      <c r="AI681" t="str">
        <f t="shared" si="108"/>
        <v>Same Day</v>
      </c>
      <c r="AJ681" s="3" t="str">
        <f t="shared" si="109"/>
        <v>anomaly</v>
      </c>
      <c r="AK681">
        <f t="shared" si="110"/>
        <v>7</v>
      </c>
    </row>
    <row r="682" spans="1:37">
      <c r="A682" t="s">
        <v>3200</v>
      </c>
      <c r="B682" t="s">
        <v>274</v>
      </c>
      <c r="C682" t="s">
        <v>577</v>
      </c>
      <c r="D682" t="s">
        <v>3201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3202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  <c r="W682" t="s">
        <v>3200</v>
      </c>
      <c r="X682" t="str">
        <v>29-05-24</v>
      </c>
      <c r="Y682" t="str">
        <v>05-06-24</v>
      </c>
      <c r="Z682" t="s">
        <v>3201</v>
      </c>
      <c r="AA682" t="str">
        <v>Kabir Singh</v>
      </c>
      <c r="AB682" t="str">
        <f t="shared" si="101"/>
        <v>Corporate</v>
      </c>
      <c r="AC682" t="str">
        <f t="shared" si="102"/>
        <v>South</v>
      </c>
      <c r="AD682" t="str">
        <f t="shared" si="103"/>
        <v>Tamil Nadu</v>
      </c>
      <c r="AE682" t="str">
        <f t="shared" si="104"/>
        <v>Chennai</v>
      </c>
      <c r="AF682" t="str">
        <f t="shared" si="105"/>
        <v>Technology</v>
      </c>
      <c r="AG682" t="str">
        <f t="shared" si="106"/>
        <v>Accessories</v>
      </c>
      <c r="AH682" t="str">
        <f t="shared" si="107"/>
        <v>Eco Accessories 658</v>
      </c>
      <c r="AI682" t="str">
        <f t="shared" si="108"/>
        <v>First Class</v>
      </c>
      <c r="AJ682" s="3" t="str">
        <f t="shared" si="109"/>
        <v xml:space="preserve">  </v>
      </c>
      <c r="AK682">
        <f t="shared" si="110"/>
        <v>7</v>
      </c>
    </row>
    <row r="683" spans="1:37">
      <c r="A683" t="s">
        <v>3203</v>
      </c>
      <c r="B683" t="s">
        <v>3204</v>
      </c>
      <c r="C683" t="s">
        <v>3205</v>
      </c>
      <c r="D683" t="s">
        <v>3206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3207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  <c r="W683" t="s">
        <v>3203</v>
      </c>
      <c r="X683" t="str">
        <v>07-04-24</v>
      </c>
      <c r="Y683" t="str">
        <v>10-07-24</v>
      </c>
      <c r="Z683" t="s">
        <v>3206</v>
      </c>
      <c r="AA683" t="str">
        <v>Vikram Iyer</v>
      </c>
      <c r="AB683" t="str">
        <f t="shared" si="101"/>
        <v>Corporate</v>
      </c>
      <c r="AC683" t="str">
        <f t="shared" si="102"/>
        <v>North</v>
      </c>
      <c r="AD683" t="str">
        <f t="shared" si="103"/>
        <v>Delhi</v>
      </c>
      <c r="AE683" t="str">
        <f t="shared" si="104"/>
        <v>New Delhi</v>
      </c>
      <c r="AF683" t="str">
        <f t="shared" si="105"/>
        <v>Furniture</v>
      </c>
      <c r="AG683" t="str">
        <f t="shared" si="106"/>
        <v>Tables</v>
      </c>
      <c r="AH683" t="str">
        <f t="shared" si="107"/>
        <v>Smart Tables 777</v>
      </c>
      <c r="AI683" t="str">
        <f t="shared" si="108"/>
        <v>Second Class</v>
      </c>
      <c r="AJ683" s="3" t="str">
        <f t="shared" si="109"/>
        <v>anomaly</v>
      </c>
      <c r="AK683">
        <f t="shared" si="110"/>
        <v>94</v>
      </c>
    </row>
    <row r="684" spans="1:37">
      <c r="A684" t="s">
        <v>3208</v>
      </c>
      <c r="B684" t="s">
        <v>344</v>
      </c>
      <c r="C684" t="s">
        <v>2881</v>
      </c>
      <c r="D684" t="s">
        <v>3209</v>
      </c>
      <c r="E684" t="s">
        <v>3210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3211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  <c r="W684" t="s">
        <v>3208</v>
      </c>
      <c r="X684" t="str">
        <v>05-02-25</v>
      </c>
      <c r="Y684" t="str">
        <v>05-02-25</v>
      </c>
      <c r="Z684" t="s">
        <v>3209</v>
      </c>
      <c r="AA684" t="str">
        <v>ananya rao</v>
      </c>
      <c r="AB684" t="str">
        <f t="shared" si="101"/>
        <v>Corporate</v>
      </c>
      <c r="AC684" t="str">
        <f t="shared" si="102"/>
        <v>North</v>
      </c>
      <c r="AD684" t="str">
        <f t="shared" si="103"/>
        <v>Haryana</v>
      </c>
      <c r="AE684" t="str">
        <f t="shared" si="104"/>
        <v>Gurugram</v>
      </c>
      <c r="AF684" t="str">
        <f t="shared" si="105"/>
        <v>Office Supplies</v>
      </c>
      <c r="AG684" t="str">
        <f t="shared" si="106"/>
        <v>Storage</v>
      </c>
      <c r="AH684" t="str">
        <f t="shared" si="107"/>
        <v>Eco Storage 861</v>
      </c>
      <c r="AI684" t="str">
        <f t="shared" si="108"/>
        <v>Same Day</v>
      </c>
      <c r="AJ684" s="3" t="str">
        <f t="shared" si="109"/>
        <v xml:space="preserve">  </v>
      </c>
      <c r="AK684">
        <f t="shared" si="110"/>
        <v>0</v>
      </c>
    </row>
    <row r="685" spans="1:37">
      <c r="A685" t="s">
        <v>3212</v>
      </c>
      <c r="B685" t="s">
        <v>3213</v>
      </c>
      <c r="C685" t="s">
        <v>1727</v>
      </c>
      <c r="D685" t="s">
        <v>3214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3215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  <c r="W685" t="s">
        <v>3212</v>
      </c>
      <c r="X685" t="str">
        <v>20-07-25</v>
      </c>
      <c r="Y685" t="str">
        <v>24-07-25</v>
      </c>
      <c r="Z685" t="s">
        <v>3214</v>
      </c>
      <c r="AA685" t="str">
        <v>Arjun Bose</v>
      </c>
      <c r="AB685" t="str">
        <f t="shared" si="101"/>
        <v>Small Business</v>
      </c>
      <c r="AC685" t="str">
        <f t="shared" si="102"/>
        <v>South</v>
      </c>
      <c r="AD685" t="str">
        <f t="shared" si="103"/>
        <v>Telangana</v>
      </c>
      <c r="AE685" t="str">
        <f t="shared" si="104"/>
        <v>Hyderabad</v>
      </c>
      <c r="AF685" t="str">
        <f t="shared" si="105"/>
        <v>Furniture</v>
      </c>
      <c r="AG685" t="str">
        <f t="shared" si="106"/>
        <v>Furnishings</v>
      </c>
      <c r="AH685" t="str">
        <f t="shared" si="107"/>
        <v>Eco Furnishings 875</v>
      </c>
      <c r="AI685" t="str">
        <f t="shared" si="108"/>
        <v>Second Class</v>
      </c>
      <c r="AJ685" s="3" t="str">
        <f t="shared" si="109"/>
        <v>anomaly</v>
      </c>
      <c r="AK685">
        <f t="shared" si="110"/>
        <v>4</v>
      </c>
    </row>
    <row r="686" spans="1:37">
      <c r="A686" t="s">
        <v>3216</v>
      </c>
      <c r="B686" t="s">
        <v>3217</v>
      </c>
      <c r="C686" t="s">
        <v>494</v>
      </c>
      <c r="D686" t="s">
        <v>3218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3219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  <c r="W686" t="s">
        <v>3216</v>
      </c>
      <c r="X686" t="str">
        <v>21-07-25</v>
      </c>
      <c r="Y686" t="str">
        <v>21-07-25</v>
      </c>
      <c r="Z686" t="s">
        <v>3218</v>
      </c>
      <c r="AA686" t="str">
        <v>Isha Nair</v>
      </c>
      <c r="AB686" t="str">
        <f t="shared" si="101"/>
        <v>Home Office</v>
      </c>
      <c r="AC686" t="str">
        <f t="shared" si="102"/>
        <v>South</v>
      </c>
      <c r="AD686" t="str">
        <f t="shared" si="103"/>
        <v>Tamil Nadu</v>
      </c>
      <c r="AE686" t="str">
        <f t="shared" si="104"/>
        <v>Chennai</v>
      </c>
      <c r="AF686" t="str">
        <f t="shared" si="105"/>
        <v>Furniture</v>
      </c>
      <c r="AG686" t="str">
        <f t="shared" si="106"/>
        <v>Bookcases</v>
      </c>
      <c r="AH686" t="str">
        <f t="shared" si="107"/>
        <v>Prime Bookcases 784</v>
      </c>
      <c r="AI686" t="str">
        <f t="shared" si="108"/>
        <v>First Class</v>
      </c>
      <c r="AJ686" s="3" t="str">
        <f t="shared" si="109"/>
        <v xml:space="preserve">  </v>
      </c>
      <c r="AK686">
        <f t="shared" si="110"/>
        <v>0</v>
      </c>
    </row>
    <row r="687" spans="1:37">
      <c r="A687" t="s">
        <v>3220</v>
      </c>
      <c r="B687" t="s">
        <v>3221</v>
      </c>
      <c r="C687" t="s">
        <v>499</v>
      </c>
      <c r="D687" t="s">
        <v>2732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3222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  <c r="W687" t="s">
        <v>3220</v>
      </c>
      <c r="X687" t="str">
        <v>01-10-25</v>
      </c>
      <c r="Y687" t="str">
        <v>03-10-25</v>
      </c>
      <c r="Z687" t="s">
        <v>2732</v>
      </c>
      <c r="AA687" t="str">
        <v>Neha Gupta</v>
      </c>
      <c r="AB687" t="str">
        <f t="shared" si="101"/>
        <v>Corporate</v>
      </c>
      <c r="AC687" t="str">
        <f t="shared" si="102"/>
        <v>West</v>
      </c>
      <c r="AD687" t="str">
        <f t="shared" si="103"/>
        <v>Goa</v>
      </c>
      <c r="AE687" t="str">
        <f t="shared" si="104"/>
        <v>Panaji</v>
      </c>
      <c r="AF687" t="str">
        <f t="shared" si="105"/>
        <v>Office Supplies</v>
      </c>
      <c r="AG687" t="str">
        <f t="shared" si="106"/>
        <v>Art</v>
      </c>
      <c r="AH687" t="str">
        <f t="shared" si="107"/>
        <v>Classic Art 380</v>
      </c>
      <c r="AI687" t="str">
        <f t="shared" si="108"/>
        <v>Standard Class</v>
      </c>
      <c r="AJ687" s="3" t="str">
        <f t="shared" si="109"/>
        <v>anomaly</v>
      </c>
      <c r="AK687">
        <f t="shared" si="110"/>
        <v>2</v>
      </c>
    </row>
    <row r="688" spans="1:37">
      <c r="A688" t="s">
        <v>3223</v>
      </c>
      <c r="B688" t="s">
        <v>3224</v>
      </c>
      <c r="C688" t="s">
        <v>2168</v>
      </c>
      <c r="D688" t="s">
        <v>3225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3226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  <c r="W688" t="s">
        <v>3223</v>
      </c>
      <c r="X688" t="str">
        <v>25-03-24</v>
      </c>
      <c r="Y688" t="str">
        <v>04-02-24</v>
      </c>
      <c r="Z688" t="s">
        <v>3225</v>
      </c>
      <c r="AA688" t="str">
        <v>Sneha Kapoor</v>
      </c>
      <c r="AB688" t="str">
        <f t="shared" si="101"/>
        <v>Home Office</v>
      </c>
      <c r="AC688" t="str">
        <f t="shared" si="102"/>
        <v>South</v>
      </c>
      <c r="AD688" t="str">
        <f t="shared" si="103"/>
        <v>Tamil Nadu</v>
      </c>
      <c r="AE688" t="str">
        <f t="shared" si="104"/>
        <v>Chennai</v>
      </c>
      <c r="AF688" t="str">
        <f t="shared" si="105"/>
        <v>Technology</v>
      </c>
      <c r="AG688" t="str">
        <f t="shared" si="106"/>
        <v>Copiers</v>
      </c>
      <c r="AH688" t="str">
        <f t="shared" si="107"/>
        <v>Pro Copiers 502</v>
      </c>
      <c r="AI688" t="str">
        <f t="shared" si="108"/>
        <v>Standard Class</v>
      </c>
      <c r="AJ688" s="3" t="str">
        <f t="shared" si="109"/>
        <v xml:space="preserve">  </v>
      </c>
      <c r="AK688">
        <f t="shared" si="110"/>
        <v>-50</v>
      </c>
    </row>
    <row r="689" spans="1:37">
      <c r="A689" t="s">
        <v>3227</v>
      </c>
      <c r="B689" t="s">
        <v>1189</v>
      </c>
      <c r="C689" t="s">
        <v>3228</v>
      </c>
      <c r="D689" t="s">
        <v>3229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3230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  <c r="W689" t="s">
        <v>3227</v>
      </c>
      <c r="X689" t="str">
        <v>08-10-25</v>
      </c>
      <c r="Y689" t="str">
        <v>13-10-25</v>
      </c>
      <c r="Z689" t="s">
        <v>3229</v>
      </c>
      <c r="AA689" t="str">
        <v>Mira Das</v>
      </c>
      <c r="AB689" t="str">
        <f t="shared" si="101"/>
        <v>Home Office</v>
      </c>
      <c r="AC689" t="str">
        <f t="shared" si="102"/>
        <v>North</v>
      </c>
      <c r="AD689" t="str">
        <f t="shared" si="103"/>
        <v>Punjab</v>
      </c>
      <c r="AE689" t="str">
        <f t="shared" si="104"/>
        <v>Ludhiana</v>
      </c>
      <c r="AF689" t="str">
        <f t="shared" si="105"/>
        <v>Furniture</v>
      </c>
      <c r="AG689" t="str">
        <f t="shared" si="106"/>
        <v>Tables</v>
      </c>
      <c r="AH689" t="str">
        <f t="shared" si="107"/>
        <v>Prime Tables 604</v>
      </c>
      <c r="AI689" t="str">
        <f t="shared" si="108"/>
        <v>First Class</v>
      </c>
      <c r="AJ689" s="3" t="str">
        <f t="shared" si="109"/>
        <v>anomaly</v>
      </c>
      <c r="AK689">
        <f t="shared" si="110"/>
        <v>5</v>
      </c>
    </row>
    <row r="690" spans="1:37">
      <c r="A690" t="s">
        <v>3231</v>
      </c>
      <c r="B690" t="s">
        <v>1161</v>
      </c>
      <c r="C690" t="s">
        <v>3232</v>
      </c>
      <c r="D690" t="s">
        <v>3233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3234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  <c r="W690" t="s">
        <v>3231</v>
      </c>
      <c r="X690" t="str">
        <v>26-02-25</v>
      </c>
      <c r="Y690" t="str">
        <v>27-02-25</v>
      </c>
      <c r="Z690" t="s">
        <v>3233</v>
      </c>
      <c r="AA690" t="str">
        <v>Neha Gupta</v>
      </c>
      <c r="AB690" t="str">
        <f t="shared" si="101"/>
        <v>Home Office</v>
      </c>
      <c r="AC690" t="str">
        <f t="shared" si="102"/>
        <v>North</v>
      </c>
      <c r="AD690" t="str">
        <f t="shared" si="103"/>
        <v>Haryana</v>
      </c>
      <c r="AE690" t="str">
        <f t="shared" si="104"/>
        <v>Gurugram</v>
      </c>
      <c r="AF690" t="str">
        <f t="shared" si="105"/>
        <v>Office Supplies</v>
      </c>
      <c r="AG690" t="str">
        <f t="shared" si="106"/>
        <v>Art</v>
      </c>
      <c r="AH690" t="str">
        <f t="shared" si="107"/>
        <v>Basic Art 798</v>
      </c>
      <c r="AI690" t="str">
        <f t="shared" si="108"/>
        <v>Second Class</v>
      </c>
      <c r="AJ690" s="3" t="str">
        <f t="shared" si="109"/>
        <v>anomaly</v>
      </c>
      <c r="AK690">
        <f t="shared" si="110"/>
        <v>1</v>
      </c>
    </row>
    <row r="691" spans="1:37">
      <c r="A691" t="s">
        <v>3235</v>
      </c>
      <c r="B691" t="s">
        <v>3236</v>
      </c>
      <c r="C691" t="s">
        <v>3237</v>
      </c>
      <c r="D691" t="s">
        <v>3238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3239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  <c r="W691" t="s">
        <v>3235</v>
      </c>
      <c r="X691" t="str">
        <v>05-10-24</v>
      </c>
      <c r="Y691" t="str">
        <v>06-10-24</v>
      </c>
      <c r="Z691" t="s">
        <v>3238</v>
      </c>
      <c r="AA691" t="str">
        <v>Rohan Mehta</v>
      </c>
      <c r="AB691" t="str">
        <f t="shared" si="101"/>
        <v>Small Business</v>
      </c>
      <c r="AC691" t="str">
        <f t="shared" si="102"/>
        <v>North</v>
      </c>
      <c r="AD691" t="str">
        <f t="shared" si="103"/>
        <v>Punjab</v>
      </c>
      <c r="AE691" t="str">
        <f t="shared" si="104"/>
        <v>Ludhiana</v>
      </c>
      <c r="AF691" t="str">
        <f t="shared" si="105"/>
        <v>Furniture</v>
      </c>
      <c r="AG691" t="str">
        <f t="shared" si="106"/>
        <v>Tables</v>
      </c>
      <c r="AH691" t="str">
        <f t="shared" si="107"/>
        <v>Elite Tables 717</v>
      </c>
      <c r="AI691" t="str">
        <f t="shared" si="108"/>
        <v>Standard Class</v>
      </c>
      <c r="AJ691" s="3" t="str">
        <f t="shared" si="109"/>
        <v>anomaly</v>
      </c>
      <c r="AK691">
        <f t="shared" si="110"/>
        <v>1</v>
      </c>
    </row>
    <row r="692" spans="1:37">
      <c r="A692" t="s">
        <v>3240</v>
      </c>
      <c r="B692" t="s">
        <v>876</v>
      </c>
      <c r="C692" t="s">
        <v>3241</v>
      </c>
      <c r="D692" t="s">
        <v>3242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3243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  <c r="W692" t="s">
        <v>3240</v>
      </c>
      <c r="X692" t="str">
        <v>09-11-24</v>
      </c>
      <c r="Y692" t="str">
        <v>15-09-24</v>
      </c>
      <c r="Z692" t="s">
        <v>3242</v>
      </c>
      <c r="AA692" t="str">
        <v>Sneha Kapoor</v>
      </c>
      <c r="AB692" t="str">
        <f t="shared" si="101"/>
        <v>Corporate</v>
      </c>
      <c r="AC692" t="str">
        <f t="shared" si="102"/>
        <v>South</v>
      </c>
      <c r="AD692" t="str">
        <f t="shared" si="103"/>
        <v>Tamil Nadu</v>
      </c>
      <c r="AE692" t="str">
        <f t="shared" si="104"/>
        <v>Chennai</v>
      </c>
      <c r="AF692" t="str">
        <f t="shared" si="105"/>
        <v>Office Supplies</v>
      </c>
      <c r="AG692" t="str">
        <f t="shared" si="106"/>
        <v>Art</v>
      </c>
      <c r="AH692" t="str">
        <f t="shared" si="107"/>
        <v>Max Art 725</v>
      </c>
      <c r="AI692" t="str">
        <f t="shared" si="108"/>
        <v>Standard Class</v>
      </c>
      <c r="AJ692" s="3" t="str">
        <f t="shared" si="109"/>
        <v>anomaly</v>
      </c>
      <c r="AK692">
        <f t="shared" si="110"/>
        <v>-55</v>
      </c>
    </row>
    <row r="693" spans="1:37">
      <c r="A693" t="s">
        <v>3244</v>
      </c>
      <c r="B693" t="s">
        <v>2459</v>
      </c>
      <c r="C693" t="s">
        <v>3245</v>
      </c>
      <c r="D693" t="s">
        <v>3246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3247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  <c r="W693" t="s">
        <v>3244</v>
      </c>
      <c r="X693" t="str">
        <v>15-12-24</v>
      </c>
      <c r="Y693" t="str">
        <v>16-12-24</v>
      </c>
      <c r="Z693" t="s">
        <v>3246</v>
      </c>
      <c r="AA693" t="str">
        <v>Rohan Mehta</v>
      </c>
      <c r="AB693" t="str">
        <f t="shared" si="101"/>
        <v>Consumer</v>
      </c>
      <c r="AC693" t="str">
        <f t="shared" si="102"/>
        <v>East</v>
      </c>
      <c r="AD693" t="str">
        <f t="shared" si="103"/>
        <v>Odisha</v>
      </c>
      <c r="AE693" t="str">
        <f t="shared" si="104"/>
        <v>Bhubaneswar</v>
      </c>
      <c r="AF693" t="str">
        <f t="shared" si="105"/>
        <v>Technology</v>
      </c>
      <c r="AG693" t="str">
        <f t="shared" si="106"/>
        <v>Copiers</v>
      </c>
      <c r="AH693" t="str">
        <f t="shared" si="107"/>
        <v>Smart Copiers 456</v>
      </c>
      <c r="AI693" t="str">
        <f t="shared" si="108"/>
        <v>Second Class</v>
      </c>
      <c r="AJ693" s="3" t="str">
        <f t="shared" si="109"/>
        <v>anomaly</v>
      </c>
      <c r="AK693">
        <f t="shared" si="110"/>
        <v>1</v>
      </c>
    </row>
    <row r="694" spans="1:37">
      <c r="A694" t="s">
        <v>3248</v>
      </c>
      <c r="B694" t="s">
        <v>227</v>
      </c>
      <c r="C694" t="s">
        <v>3249</v>
      </c>
      <c r="D694" t="s">
        <v>3250</v>
      </c>
      <c r="E694" t="s">
        <v>53</v>
      </c>
      <c r="F694" t="s">
        <v>1779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3251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  <c r="W694" t="s">
        <v>3248</v>
      </c>
      <c r="X694" t="str">
        <v>05-10-25</v>
      </c>
      <c r="Y694" t="str">
        <v>10-10-25</v>
      </c>
      <c r="Z694" t="s">
        <v>3250</v>
      </c>
      <c r="AA694" t="str">
        <v>Isha Nair</v>
      </c>
      <c r="AB694" t="str">
        <f t="shared" si="101"/>
        <v>Corporate</v>
      </c>
      <c r="AC694" t="str">
        <f t="shared" si="102"/>
        <v>South</v>
      </c>
      <c r="AD694" t="str">
        <f t="shared" si="103"/>
        <v>Karnataka</v>
      </c>
      <c r="AE694" t="str">
        <f t="shared" si="104"/>
        <v>Bengaluru</v>
      </c>
      <c r="AF694" t="str">
        <f t="shared" si="105"/>
        <v>Furniture</v>
      </c>
      <c r="AG694" t="str">
        <f t="shared" si="106"/>
        <v>Furnishings</v>
      </c>
      <c r="AH694" t="str">
        <f t="shared" si="107"/>
        <v>Prime Furnishings 883</v>
      </c>
      <c r="AI694" t="str">
        <f t="shared" si="108"/>
        <v>Second Class</v>
      </c>
      <c r="AJ694" s="3" t="str">
        <f t="shared" si="109"/>
        <v>anomaly</v>
      </c>
      <c r="AK694">
        <f t="shared" si="110"/>
        <v>5</v>
      </c>
    </row>
    <row r="695" spans="1:37">
      <c r="A695" t="s">
        <v>3252</v>
      </c>
      <c r="B695" t="s">
        <v>3253</v>
      </c>
      <c r="C695" t="s">
        <v>2496</v>
      </c>
      <c r="D695" t="s">
        <v>3254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3255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  <c r="W695" t="s">
        <v>3252</v>
      </c>
      <c r="X695" t="str">
        <v>03-04-25</v>
      </c>
      <c r="Y695" t="str">
        <v>11-04-25</v>
      </c>
      <c r="Z695" t="s">
        <v>3254</v>
      </c>
      <c r="AA695" t="str">
        <v>Arjun Bose</v>
      </c>
      <c r="AB695" t="str">
        <f t="shared" si="101"/>
        <v>Consumer</v>
      </c>
      <c r="AC695" t="str">
        <f t="shared" si="102"/>
        <v>South</v>
      </c>
      <c r="AD695" t="str">
        <f t="shared" si="103"/>
        <v>Tamil Nadu</v>
      </c>
      <c r="AE695" t="str">
        <f t="shared" si="104"/>
        <v>Chennai</v>
      </c>
      <c r="AF695" t="str">
        <f t="shared" si="105"/>
        <v>Furniture</v>
      </c>
      <c r="AG695" t="str">
        <f t="shared" si="106"/>
        <v>Bookcases</v>
      </c>
      <c r="AH695" t="str">
        <f t="shared" si="107"/>
        <v>Smart Bookcases 828</v>
      </c>
      <c r="AI695" t="str">
        <f t="shared" si="108"/>
        <v>Second Class</v>
      </c>
      <c r="AJ695" s="3" t="str">
        <f t="shared" si="109"/>
        <v>anomaly</v>
      </c>
      <c r="AK695">
        <f t="shared" si="110"/>
        <v>8</v>
      </c>
    </row>
    <row r="696" spans="1:37">
      <c r="A696" t="s">
        <v>3256</v>
      </c>
      <c r="B696" t="s">
        <v>1728</v>
      </c>
      <c r="C696" t="s">
        <v>3077</v>
      </c>
      <c r="D696" t="s">
        <v>1736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3257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  <c r="W696" t="s">
        <v>3256</v>
      </c>
      <c r="X696" t="str">
        <v>01-08-25</v>
      </c>
      <c r="Y696" t="str">
        <v>09-08-25</v>
      </c>
      <c r="Z696" t="s">
        <v>1736</v>
      </c>
      <c r="AA696" t="str">
        <v>Isha Nair</v>
      </c>
      <c r="AB696" t="str">
        <f t="shared" si="101"/>
        <v>Consumer</v>
      </c>
      <c r="AC696" t="str">
        <f t="shared" si="102"/>
        <v>South</v>
      </c>
      <c r="AD696" t="str">
        <f t="shared" si="103"/>
        <v>Andhra Pradesh</v>
      </c>
      <c r="AE696" t="str">
        <f t="shared" si="104"/>
        <v>Vijayawada</v>
      </c>
      <c r="AF696" t="str">
        <f t="shared" si="105"/>
        <v>Office Supplies</v>
      </c>
      <c r="AG696" t="str">
        <f t="shared" si="106"/>
        <v>Storage</v>
      </c>
      <c r="AH696" t="str">
        <f t="shared" si="107"/>
        <v>Classic Storage 291</v>
      </c>
      <c r="AI696" t="str">
        <f t="shared" si="108"/>
        <v>First Class</v>
      </c>
      <c r="AJ696" s="3" t="str">
        <f t="shared" si="109"/>
        <v>anomaly</v>
      </c>
      <c r="AK696">
        <f t="shared" si="110"/>
        <v>8</v>
      </c>
    </row>
    <row r="697" spans="1:37">
      <c r="A697" t="s">
        <v>3258</v>
      </c>
      <c r="B697" t="s">
        <v>3259</v>
      </c>
      <c r="C697" t="s">
        <v>2103</v>
      </c>
      <c r="D697" t="s">
        <v>3260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3261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  <c r="W697" t="s">
        <v>3258</v>
      </c>
      <c r="X697" t="str">
        <v>01-07-24</v>
      </c>
      <c r="Y697" t="str">
        <v>01-07-24</v>
      </c>
      <c r="Z697" t="s">
        <v>3260</v>
      </c>
      <c r="AA697" t="str">
        <v>Aarav Sharma</v>
      </c>
      <c r="AB697" t="str">
        <f t="shared" si="101"/>
        <v>Consumer</v>
      </c>
      <c r="AC697" t="str">
        <f t="shared" si="102"/>
        <v>West</v>
      </c>
      <c r="AD697" t="str">
        <f t="shared" si="103"/>
        <v>Madhya Pradesh</v>
      </c>
      <c r="AE697" t="str">
        <f t="shared" si="104"/>
        <v>Indore</v>
      </c>
      <c r="AF697" t="str">
        <f t="shared" si="105"/>
        <v>Technology</v>
      </c>
      <c r="AG697" t="str">
        <f t="shared" si="106"/>
        <v>Machines</v>
      </c>
      <c r="AH697" t="str">
        <f t="shared" si="107"/>
        <v>Prime Machines 102</v>
      </c>
      <c r="AI697" t="str">
        <f t="shared" si="108"/>
        <v>Standard Class</v>
      </c>
      <c r="AJ697" s="3" t="str">
        <f t="shared" si="109"/>
        <v xml:space="preserve">  </v>
      </c>
      <c r="AK697">
        <f t="shared" si="110"/>
        <v>0</v>
      </c>
    </row>
    <row r="698" spans="1:37">
      <c r="A698" t="s">
        <v>3262</v>
      </c>
      <c r="B698" t="s">
        <v>3263</v>
      </c>
      <c r="C698" t="s">
        <v>3264</v>
      </c>
      <c r="D698" t="s">
        <v>3265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3266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  <c r="W698" t="s">
        <v>3262</v>
      </c>
      <c r="X698" t="str">
        <v>22-09-25</v>
      </c>
      <c r="Y698" t="str">
        <v>25-09-25</v>
      </c>
      <c r="Z698" t="s">
        <v>3265</v>
      </c>
      <c r="AA698" t="str">
        <v>Isha Nair</v>
      </c>
      <c r="AB698" t="str">
        <f t="shared" si="101"/>
        <v>Small Business</v>
      </c>
      <c r="AC698" t="str">
        <f t="shared" si="102"/>
        <v>South</v>
      </c>
      <c r="AD698" t="str">
        <f t="shared" si="103"/>
        <v>Kerala</v>
      </c>
      <c r="AE698" t="str">
        <f t="shared" si="104"/>
        <v>Kochi</v>
      </c>
      <c r="AF698" t="str">
        <f t="shared" si="105"/>
        <v>Technology</v>
      </c>
      <c r="AG698" t="str">
        <f t="shared" si="106"/>
        <v>Phones</v>
      </c>
      <c r="AH698" t="str">
        <f t="shared" si="107"/>
        <v>Classic Phones 842</v>
      </c>
      <c r="AI698" s="5" t="s">
        <v>4116</v>
      </c>
      <c r="AJ698" s="3" t="str">
        <f t="shared" si="109"/>
        <v>anomaly</v>
      </c>
      <c r="AK698">
        <f t="shared" si="110"/>
        <v>3</v>
      </c>
    </row>
    <row r="699" spans="1:37">
      <c r="A699" t="s">
        <v>3267</v>
      </c>
      <c r="B699" t="s">
        <v>2321</v>
      </c>
      <c r="C699" t="s">
        <v>786</v>
      </c>
      <c r="D699" t="s">
        <v>3268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3269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  <c r="W699" t="s">
        <v>3267</v>
      </c>
      <c r="X699" t="str">
        <v>03-01-25</v>
      </c>
      <c r="Y699" t="str">
        <v>07-03-25</v>
      </c>
      <c r="Z699" t="s">
        <v>3268</v>
      </c>
      <c r="AA699" t="str">
        <v>Arjun Bose</v>
      </c>
      <c r="AB699" t="str">
        <f t="shared" si="101"/>
        <v>Corporate</v>
      </c>
      <c r="AC699" t="str">
        <f t="shared" si="102"/>
        <v>South</v>
      </c>
      <c r="AD699" t="str">
        <f t="shared" si="103"/>
        <v>Andhra Pradesh</v>
      </c>
      <c r="AE699" t="str">
        <f t="shared" si="104"/>
        <v>Vijayawada</v>
      </c>
      <c r="AF699" t="str">
        <f t="shared" si="105"/>
        <v>Office Supplies</v>
      </c>
      <c r="AG699" t="str">
        <f t="shared" si="106"/>
        <v>Labels</v>
      </c>
      <c r="AH699" t="str">
        <f t="shared" si="107"/>
        <v>Max Labels 970</v>
      </c>
      <c r="AI699" t="str">
        <f t="shared" si="108"/>
        <v>First Class</v>
      </c>
      <c r="AJ699" s="3" t="str">
        <f t="shared" si="109"/>
        <v>anomaly</v>
      </c>
      <c r="AK699">
        <f t="shared" si="110"/>
        <v>63</v>
      </c>
    </row>
    <row r="700" spans="1:37">
      <c r="A700" t="s">
        <v>3270</v>
      </c>
      <c r="B700" t="s">
        <v>3271</v>
      </c>
      <c r="C700" t="s">
        <v>1739</v>
      </c>
      <c r="D700" t="s">
        <v>3272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3273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  <c r="W700" t="s">
        <v>3270</v>
      </c>
      <c r="X700" t="str">
        <v>14-09-24</v>
      </c>
      <c r="Y700" t="str">
        <v>14-09-24</v>
      </c>
      <c r="Z700" t="s">
        <v>3272</v>
      </c>
      <c r="AA700" t="str">
        <v>Mira Das</v>
      </c>
      <c r="AB700" t="str">
        <f t="shared" si="101"/>
        <v>Corporate</v>
      </c>
      <c r="AC700" t="str">
        <f t="shared" si="102"/>
        <v>North</v>
      </c>
      <c r="AD700" t="str">
        <f t="shared" si="103"/>
        <v>Rajasthan</v>
      </c>
      <c r="AE700" t="str">
        <f t="shared" si="104"/>
        <v>Jaipur</v>
      </c>
      <c r="AF700" t="str">
        <f t="shared" si="105"/>
        <v>Technology</v>
      </c>
      <c r="AG700" t="str">
        <f t="shared" si="106"/>
        <v>Machines</v>
      </c>
      <c r="AH700" t="str">
        <f t="shared" si="107"/>
        <v>Classic Machines 648</v>
      </c>
      <c r="AI700" t="str">
        <f t="shared" si="108"/>
        <v>Standard Class</v>
      </c>
      <c r="AJ700" s="3" t="str">
        <f t="shared" si="109"/>
        <v xml:space="preserve">  </v>
      </c>
      <c r="AK700">
        <f t="shared" si="110"/>
        <v>0</v>
      </c>
    </row>
    <row r="701" spans="1:37">
      <c r="A701" t="s">
        <v>3274</v>
      </c>
      <c r="B701" t="s">
        <v>3275</v>
      </c>
      <c r="C701" t="s">
        <v>3276</v>
      </c>
      <c r="D701" t="s">
        <v>3277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3278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  <c r="W701" t="s">
        <v>3274</v>
      </c>
      <c r="X701" t="str">
        <v>11-06-24</v>
      </c>
      <c r="Y701" t="str">
        <v>11-06-24</v>
      </c>
      <c r="Z701" t="s">
        <v>3277</v>
      </c>
      <c r="AA701" t="str">
        <v>Arjun Bose</v>
      </c>
      <c r="AB701" t="str">
        <f t="shared" si="101"/>
        <v>Small Business</v>
      </c>
      <c r="AC701" t="str">
        <f t="shared" si="102"/>
        <v>South</v>
      </c>
      <c r="AD701" t="str">
        <f t="shared" si="103"/>
        <v>Karnataka</v>
      </c>
      <c r="AE701" t="str">
        <f t="shared" si="104"/>
        <v>Bengaluru</v>
      </c>
      <c r="AF701" t="str">
        <f t="shared" si="105"/>
        <v>Furniture</v>
      </c>
      <c r="AG701" t="str">
        <f t="shared" si="106"/>
        <v>Bookcases</v>
      </c>
      <c r="AH701" t="str">
        <f t="shared" si="107"/>
        <v>Max Bookcases 565</v>
      </c>
      <c r="AI701" t="str">
        <f t="shared" si="108"/>
        <v>Standard Class</v>
      </c>
      <c r="AJ701" s="3" t="str">
        <f t="shared" si="109"/>
        <v xml:space="preserve">  </v>
      </c>
      <c r="AK701">
        <f t="shared" si="110"/>
        <v>0</v>
      </c>
    </row>
    <row r="702" spans="1:37">
      <c r="A702" t="s">
        <v>3279</v>
      </c>
      <c r="B702" t="s">
        <v>3280</v>
      </c>
      <c r="C702" t="s">
        <v>1133</v>
      </c>
      <c r="D702" t="s">
        <v>3281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3282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  <c r="W702" t="s">
        <v>3279</v>
      </c>
      <c r="X702" t="str">
        <v>18-09-24</v>
      </c>
      <c r="Y702" t="str">
        <v>invalid date</v>
      </c>
      <c r="Z702" t="s">
        <v>3281</v>
      </c>
      <c r="AA702" t="str">
        <v>Neha Gupta</v>
      </c>
      <c r="AB702" t="str">
        <f t="shared" si="101"/>
        <v>Corporate</v>
      </c>
      <c r="AC702" t="str">
        <f t="shared" si="102"/>
        <v>East</v>
      </c>
      <c r="AD702" t="str">
        <f t="shared" si="103"/>
        <v>West Bengal</v>
      </c>
      <c r="AE702" t="str">
        <f t="shared" si="104"/>
        <v>Kolkata</v>
      </c>
      <c r="AF702" t="str">
        <f t="shared" si="105"/>
        <v>Technology</v>
      </c>
      <c r="AG702" t="str">
        <f t="shared" si="106"/>
        <v>Machines</v>
      </c>
      <c r="AH702" t="str">
        <f t="shared" si="107"/>
        <v>Basic Machines 220</v>
      </c>
      <c r="AI702" t="str">
        <f t="shared" si="108"/>
        <v>Standard Class</v>
      </c>
      <c r="AJ702" s="3" t="str">
        <f t="shared" si="109"/>
        <v>Invalid</v>
      </c>
      <c r="AK702" t="str">
        <f t="shared" si="110"/>
        <v>invalid date</v>
      </c>
    </row>
    <row r="703" spans="1:37">
      <c r="A703" t="s">
        <v>3283</v>
      </c>
      <c r="B703" t="s">
        <v>1620</v>
      </c>
      <c r="C703" t="s">
        <v>1291</v>
      </c>
      <c r="D703" t="s">
        <v>3284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3285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  <c r="W703" t="s">
        <v>3283</v>
      </c>
      <c r="X703" t="str">
        <v>30-04-24</v>
      </c>
      <c r="Y703" t="str">
        <v>04-05-24</v>
      </c>
      <c r="Z703" t="s">
        <v>3284</v>
      </c>
      <c r="AA703" t="str">
        <v>Rohan Mehta</v>
      </c>
      <c r="AB703" t="str">
        <f t="shared" si="101"/>
        <v>Small Business</v>
      </c>
      <c r="AC703" t="str">
        <f t="shared" si="102"/>
        <v>West</v>
      </c>
      <c r="AD703" t="str">
        <f t="shared" si="103"/>
        <v>Gujarat</v>
      </c>
      <c r="AE703" t="str">
        <f t="shared" si="104"/>
        <v>Ahmedabad</v>
      </c>
      <c r="AF703" t="str">
        <f t="shared" si="105"/>
        <v>Office Supplies</v>
      </c>
      <c r="AG703" t="str">
        <f t="shared" si="106"/>
        <v>Art</v>
      </c>
      <c r="AH703" t="str">
        <f t="shared" si="107"/>
        <v>Pro Art 151</v>
      </c>
      <c r="AI703" t="str">
        <f t="shared" si="108"/>
        <v>Same Day</v>
      </c>
      <c r="AJ703" s="3" t="str">
        <f t="shared" si="109"/>
        <v xml:space="preserve">  </v>
      </c>
      <c r="AK703">
        <f t="shared" si="110"/>
        <v>4</v>
      </c>
    </row>
    <row r="704" spans="1:37">
      <c r="A704" t="s">
        <v>3286</v>
      </c>
      <c r="B704" t="s">
        <v>3287</v>
      </c>
      <c r="C704" t="s">
        <v>2882</v>
      </c>
      <c r="D704" t="s">
        <v>3288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3289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  <c r="W704" t="s">
        <v>3286</v>
      </c>
      <c r="X704" t="str">
        <v>02-02-25</v>
      </c>
      <c r="Y704" t="str">
        <v>02-06-25</v>
      </c>
      <c r="Z704" t="s">
        <v>3288</v>
      </c>
      <c r="AA704" t="str">
        <v>Karan Malhotra</v>
      </c>
      <c r="AB704" t="str">
        <f t="shared" si="101"/>
        <v>Small Business</v>
      </c>
      <c r="AC704" t="str">
        <f t="shared" si="102"/>
        <v>West</v>
      </c>
      <c r="AD704" t="str">
        <f t="shared" si="103"/>
        <v>Rajasthan</v>
      </c>
      <c r="AE704" t="str">
        <f t="shared" si="104"/>
        <v>Udaipur</v>
      </c>
      <c r="AF704" t="str">
        <f t="shared" si="105"/>
        <v>Furniture</v>
      </c>
      <c r="AG704" t="str">
        <f t="shared" si="106"/>
        <v>Tables</v>
      </c>
      <c r="AH704" t="str">
        <f t="shared" si="107"/>
        <v>Pro Tables 980</v>
      </c>
      <c r="AI704" t="str">
        <f t="shared" si="108"/>
        <v>Second Class</v>
      </c>
      <c r="AJ704" s="3" t="str">
        <f t="shared" si="109"/>
        <v>anomaly</v>
      </c>
      <c r="AK704">
        <f t="shared" si="110"/>
        <v>120</v>
      </c>
    </row>
    <row r="705" spans="1:37">
      <c r="A705" t="s">
        <v>3290</v>
      </c>
      <c r="B705" t="s">
        <v>3291</v>
      </c>
      <c r="C705" t="s">
        <v>2378</v>
      </c>
      <c r="D705" t="s">
        <v>3292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3293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  <c r="W705" t="s">
        <v>3290</v>
      </c>
      <c r="X705" t="str">
        <v>19-10-24</v>
      </c>
      <c r="Y705" t="str">
        <v>20-10-24</v>
      </c>
      <c r="Z705" t="s">
        <v>3292</v>
      </c>
      <c r="AA705" t="str">
        <v>Aditi Sen</v>
      </c>
      <c r="AB705" t="str">
        <f t="shared" si="101"/>
        <v>Corporate</v>
      </c>
      <c r="AC705" t="str">
        <f t="shared" si="102"/>
        <v>North</v>
      </c>
      <c r="AD705" t="str">
        <f t="shared" si="103"/>
        <v>Rajasthan</v>
      </c>
      <c r="AE705" t="str">
        <f t="shared" si="104"/>
        <v>Jaipur</v>
      </c>
      <c r="AF705" t="str">
        <f t="shared" si="105"/>
        <v>Furniture</v>
      </c>
      <c r="AG705" t="str">
        <f t="shared" si="106"/>
        <v>Tables</v>
      </c>
      <c r="AH705" t="str">
        <f t="shared" si="107"/>
        <v>Classic Tables 997</v>
      </c>
      <c r="AI705" t="str">
        <f t="shared" si="108"/>
        <v>First Class</v>
      </c>
      <c r="AJ705" s="3" t="str">
        <f t="shared" si="109"/>
        <v>anomaly</v>
      </c>
      <c r="AK705">
        <f t="shared" si="110"/>
        <v>1</v>
      </c>
    </row>
    <row r="706" spans="1:37">
      <c r="A706" t="s">
        <v>3294</v>
      </c>
      <c r="B706" t="s">
        <v>1556</v>
      </c>
      <c r="C706" t="s">
        <v>3295</v>
      </c>
      <c r="D706" t="s">
        <v>3296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3297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  <c r="W706" t="s">
        <v>3294</v>
      </c>
      <c r="X706" t="str">
        <v>13-03-24</v>
      </c>
      <c r="Y706" t="str">
        <v>invalid date</v>
      </c>
      <c r="Z706" t="s">
        <v>3296</v>
      </c>
      <c r="AA706" t="str">
        <v>Priya Menon</v>
      </c>
      <c r="AB706" t="str">
        <f t="shared" si="101"/>
        <v>Home Office</v>
      </c>
      <c r="AC706" t="str">
        <f t="shared" si="102"/>
        <v>South</v>
      </c>
      <c r="AD706" t="str">
        <f t="shared" si="103"/>
        <v>Tamil Nadu</v>
      </c>
      <c r="AE706" t="str">
        <f t="shared" si="104"/>
        <v>Chennai</v>
      </c>
      <c r="AF706" t="str">
        <f t="shared" si="105"/>
        <v>Furniture</v>
      </c>
      <c r="AG706" t="str">
        <f t="shared" si="106"/>
        <v>Bookcases</v>
      </c>
      <c r="AH706" t="str">
        <f t="shared" si="107"/>
        <v>Max Bookcases 738</v>
      </c>
      <c r="AI706" s="5" t="s">
        <v>4116</v>
      </c>
      <c r="AJ706" s="3" t="str">
        <f t="shared" si="109"/>
        <v>Invalid</v>
      </c>
      <c r="AK706" t="str">
        <f t="shared" si="110"/>
        <v>invalid date</v>
      </c>
    </row>
    <row r="707" spans="1:37">
      <c r="A707" t="s">
        <v>3298</v>
      </c>
      <c r="B707" t="s">
        <v>3299</v>
      </c>
      <c r="C707" t="s">
        <v>3300</v>
      </c>
      <c r="D707" t="s">
        <v>3301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3302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  <c r="W707" t="s">
        <v>3298</v>
      </c>
      <c r="X707" t="str">
        <v>08-09-24</v>
      </c>
      <c r="Y707" t="str">
        <v>invalid date</v>
      </c>
      <c r="Z707" t="s">
        <v>3301</v>
      </c>
      <c r="AA707" t="str">
        <v>Rohan Mehta</v>
      </c>
      <c r="AB707" t="str">
        <f t="shared" ref="AB707:AB770" si="111">TRIM(PROPER(F:F))</f>
        <v>Consumer</v>
      </c>
      <c r="AC707" t="str">
        <f t="shared" ref="AC707:AC770" si="112">TRIM(PROPER(G:G))</f>
        <v>North</v>
      </c>
      <c r="AD707" t="str">
        <f t="shared" ref="AD707:AD770" si="113">TRIM(PROPER(H:H))</f>
        <v>Rajasthan</v>
      </c>
      <c r="AE707" t="str">
        <f t="shared" ref="AE707:AE770" si="114">TRIM(PROPER(I:I))</f>
        <v>Jaipur</v>
      </c>
      <c r="AF707" t="str">
        <f t="shared" ref="AF707:AF770" si="115">TRIM(PROPER(J:J))</f>
        <v>Office Supplies</v>
      </c>
      <c r="AG707" t="str">
        <f t="shared" ref="AG707:AG770" si="116">TRIM(PROPER(K:K))</f>
        <v>Binders</v>
      </c>
      <c r="AH707" t="str">
        <f t="shared" ref="AH707:AH770" si="117">TRIM(PROPER(L:L))</f>
        <v>Max Binders 411</v>
      </c>
      <c r="AI707" t="str">
        <f t="shared" ref="AI707:AI770" si="118">TRIM(PROPER(M:M))</f>
        <v>Standard Class</v>
      </c>
      <c r="AJ707" s="3" t="str">
        <f t="shared" ref="AJ707:AJ770" si="119">IF(OR(X:X="Invalid Date",Y:Y="Invalid Date"),"Invalid",(IF(X:X&lt;Y:Y,"anomaly", "  ")))</f>
        <v>Invalid</v>
      </c>
      <c r="AK707" t="str">
        <f t="shared" ref="AK707:AK770" si="120">IFERROR(Y707-X707, "invalid date")</f>
        <v>invalid date</v>
      </c>
    </row>
    <row r="708" spans="1:37">
      <c r="A708" t="s">
        <v>3303</v>
      </c>
      <c r="B708" t="s">
        <v>3304</v>
      </c>
      <c r="C708" t="s">
        <v>1042</v>
      </c>
      <c r="D708" t="s">
        <v>3305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3306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  <c r="W708" t="s">
        <v>3303</v>
      </c>
      <c r="X708" t="str">
        <v>24-06-24</v>
      </c>
      <c r="Y708" t="str">
        <v>28-06-24</v>
      </c>
      <c r="Z708" t="s">
        <v>3305</v>
      </c>
      <c r="AA708" t="str">
        <v>Isha Nair</v>
      </c>
      <c r="AB708" t="str">
        <f t="shared" si="111"/>
        <v>Small Business</v>
      </c>
      <c r="AC708" t="str">
        <f t="shared" si="112"/>
        <v>East</v>
      </c>
      <c r="AD708" t="str">
        <f t="shared" si="113"/>
        <v>Odisha</v>
      </c>
      <c r="AE708" t="str">
        <f t="shared" si="114"/>
        <v>Bhubaneswar</v>
      </c>
      <c r="AF708" t="str">
        <f t="shared" si="115"/>
        <v>Office Supplies</v>
      </c>
      <c r="AG708" t="str">
        <f t="shared" si="116"/>
        <v>Paper</v>
      </c>
      <c r="AH708" t="str">
        <f t="shared" si="117"/>
        <v>Max Paper 343</v>
      </c>
      <c r="AI708" t="str">
        <f t="shared" si="118"/>
        <v>Same Day</v>
      </c>
      <c r="AJ708" s="3" t="str">
        <f t="shared" si="119"/>
        <v>anomaly</v>
      </c>
      <c r="AK708">
        <f t="shared" si="120"/>
        <v>4</v>
      </c>
    </row>
    <row r="709" spans="1:37">
      <c r="A709" t="s">
        <v>3307</v>
      </c>
      <c r="B709" t="s">
        <v>3308</v>
      </c>
      <c r="C709" t="s">
        <v>2369</v>
      </c>
      <c r="D709" t="s">
        <v>3309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3310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  <c r="W709" t="s">
        <v>3307</v>
      </c>
      <c r="X709" t="str">
        <v>24-06-25</v>
      </c>
      <c r="Y709" t="str">
        <v>invalid date</v>
      </c>
      <c r="Z709" t="s">
        <v>3309</v>
      </c>
      <c r="AA709" t="str">
        <v>Vikram Iyer</v>
      </c>
      <c r="AB709" t="str">
        <f t="shared" si="111"/>
        <v>Consumer</v>
      </c>
      <c r="AC709" t="str">
        <f t="shared" si="112"/>
        <v>North</v>
      </c>
      <c r="AD709" t="str">
        <f t="shared" si="113"/>
        <v>Rajasthan</v>
      </c>
      <c r="AE709" t="str">
        <f t="shared" si="114"/>
        <v>Jaipur</v>
      </c>
      <c r="AF709" t="str">
        <f t="shared" si="115"/>
        <v>Technology</v>
      </c>
      <c r="AG709" t="str">
        <f t="shared" si="116"/>
        <v>Accessories</v>
      </c>
      <c r="AH709" t="str">
        <f t="shared" si="117"/>
        <v>Pro Accessories 485</v>
      </c>
      <c r="AI709" t="str">
        <f t="shared" si="118"/>
        <v>Same Day</v>
      </c>
      <c r="AJ709" s="3" t="str">
        <f t="shared" si="119"/>
        <v>Invalid</v>
      </c>
      <c r="AK709" t="str">
        <f t="shared" si="120"/>
        <v>invalid date</v>
      </c>
    </row>
    <row r="710" spans="1:37">
      <c r="A710" t="s">
        <v>3311</v>
      </c>
      <c r="B710" t="s">
        <v>3312</v>
      </c>
      <c r="C710" t="s">
        <v>3313</v>
      </c>
      <c r="D710" t="s">
        <v>3314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3315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  <c r="W710" t="s">
        <v>3311</v>
      </c>
      <c r="X710" t="str">
        <v>invalid date</v>
      </c>
      <c r="Y710" t="str">
        <v>26-03-25</v>
      </c>
      <c r="Z710" t="s">
        <v>3314</v>
      </c>
      <c r="AA710" t="str">
        <v>Sneha Kapoor</v>
      </c>
      <c r="AB710" t="str">
        <f t="shared" si="111"/>
        <v>Consumer</v>
      </c>
      <c r="AC710" t="str">
        <f t="shared" si="112"/>
        <v>East</v>
      </c>
      <c r="AD710" t="str">
        <f t="shared" si="113"/>
        <v>Assam</v>
      </c>
      <c r="AE710" t="str">
        <f t="shared" si="114"/>
        <v>Guwahati</v>
      </c>
      <c r="AF710" t="str">
        <f t="shared" si="115"/>
        <v>Furniture</v>
      </c>
      <c r="AG710" t="str">
        <f t="shared" si="116"/>
        <v>Bookcases</v>
      </c>
      <c r="AH710" t="str">
        <f t="shared" si="117"/>
        <v>Elite Bookcases 113</v>
      </c>
      <c r="AI710" t="str">
        <f t="shared" si="118"/>
        <v>First Class</v>
      </c>
      <c r="AJ710" s="3" t="str">
        <f t="shared" si="119"/>
        <v>Invalid</v>
      </c>
      <c r="AK710" t="str">
        <f t="shared" si="120"/>
        <v>invalid date</v>
      </c>
    </row>
    <row r="711" spans="1:37">
      <c r="A711" t="s">
        <v>3316</v>
      </c>
      <c r="B711" t="s">
        <v>195</v>
      </c>
      <c r="C711" t="s">
        <v>184</v>
      </c>
      <c r="D711" t="s">
        <v>3317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3318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  <c r="W711" t="s">
        <v>3316</v>
      </c>
      <c r="X711" t="str">
        <v>19-01-25</v>
      </c>
      <c r="Y711" t="str">
        <v>23-01-25</v>
      </c>
      <c r="Z711" t="s">
        <v>3317</v>
      </c>
      <c r="AA711" t="str">
        <v>Kabir Singh</v>
      </c>
      <c r="AB711" t="str">
        <f t="shared" si="111"/>
        <v>Home Office</v>
      </c>
      <c r="AC711" t="str">
        <f t="shared" si="112"/>
        <v>North</v>
      </c>
      <c r="AD711" t="str">
        <f t="shared" si="113"/>
        <v>Punjab</v>
      </c>
      <c r="AE711" t="str">
        <f t="shared" si="114"/>
        <v>Ludhiana</v>
      </c>
      <c r="AF711" t="str">
        <f t="shared" si="115"/>
        <v>Technology</v>
      </c>
      <c r="AG711" t="str">
        <f t="shared" si="116"/>
        <v>Phones</v>
      </c>
      <c r="AH711" t="str">
        <f t="shared" si="117"/>
        <v>Eco Phones 787</v>
      </c>
      <c r="AI711" t="str">
        <f t="shared" si="118"/>
        <v>Same Day</v>
      </c>
      <c r="AJ711" s="3" t="str">
        <f t="shared" si="119"/>
        <v>anomaly</v>
      </c>
      <c r="AK711">
        <f t="shared" si="120"/>
        <v>4</v>
      </c>
    </row>
    <row r="712" spans="1:37">
      <c r="A712" t="s">
        <v>3319</v>
      </c>
      <c r="B712" t="s">
        <v>3320</v>
      </c>
      <c r="C712" t="s">
        <v>3321</v>
      </c>
      <c r="D712" t="s">
        <v>3322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3323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  <c r="W712" t="s">
        <v>3319</v>
      </c>
      <c r="X712" t="str">
        <v>07-12-24</v>
      </c>
      <c r="Y712" t="str">
        <v>invalid date</v>
      </c>
      <c r="Z712" t="s">
        <v>3322</v>
      </c>
      <c r="AA712" t="str">
        <v>Vikram Iyer</v>
      </c>
      <c r="AB712" t="str">
        <f t="shared" si="111"/>
        <v>Corporate</v>
      </c>
      <c r="AC712" t="str">
        <f t="shared" si="112"/>
        <v>North</v>
      </c>
      <c r="AD712" t="str">
        <f t="shared" si="113"/>
        <v>Punjab</v>
      </c>
      <c r="AE712" t="str">
        <f t="shared" si="114"/>
        <v>Ludhiana</v>
      </c>
      <c r="AF712" t="str">
        <f t="shared" si="115"/>
        <v>Office Supplies</v>
      </c>
      <c r="AG712" t="str">
        <f t="shared" si="116"/>
        <v>Art</v>
      </c>
      <c r="AH712" t="str">
        <f t="shared" si="117"/>
        <v>Smart Art 279</v>
      </c>
      <c r="AI712" t="str">
        <f t="shared" si="118"/>
        <v>Second Class</v>
      </c>
      <c r="AJ712" s="3" t="str">
        <f t="shared" si="119"/>
        <v>Invalid</v>
      </c>
      <c r="AK712" t="str">
        <f t="shared" si="120"/>
        <v>invalid date</v>
      </c>
    </row>
    <row r="713" spans="1:37">
      <c r="A713" t="s">
        <v>3324</v>
      </c>
      <c r="B713" t="s">
        <v>3325</v>
      </c>
      <c r="C713" t="s">
        <v>3287</v>
      </c>
      <c r="D713" t="s">
        <v>3326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3327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  <c r="W713" t="s">
        <v>3324</v>
      </c>
      <c r="X713" t="str">
        <v>02-02-25</v>
      </c>
      <c r="Y713" t="str">
        <v>02-02-25</v>
      </c>
      <c r="Z713" t="s">
        <v>3326</v>
      </c>
      <c r="AA713" t="str">
        <v>Kabir Singh</v>
      </c>
      <c r="AB713" t="str">
        <f t="shared" si="111"/>
        <v>Corporate</v>
      </c>
      <c r="AC713" t="str">
        <f t="shared" si="112"/>
        <v>East</v>
      </c>
      <c r="AD713" t="str">
        <f t="shared" si="113"/>
        <v>West Bengal</v>
      </c>
      <c r="AE713" t="str">
        <f t="shared" si="114"/>
        <v>Kolkata</v>
      </c>
      <c r="AF713" t="str">
        <f t="shared" si="115"/>
        <v>Technology</v>
      </c>
      <c r="AG713" t="str">
        <f t="shared" si="116"/>
        <v>Machines</v>
      </c>
      <c r="AH713" t="str">
        <f t="shared" si="117"/>
        <v>Basic Machines 172</v>
      </c>
      <c r="AI713" t="str">
        <f t="shared" si="118"/>
        <v>First Class</v>
      </c>
      <c r="AJ713" s="3" t="str">
        <f t="shared" si="119"/>
        <v xml:space="preserve">  </v>
      </c>
      <c r="AK713">
        <f t="shared" si="120"/>
        <v>0</v>
      </c>
    </row>
    <row r="714" spans="1:37">
      <c r="A714" t="s">
        <v>3328</v>
      </c>
      <c r="B714" t="s">
        <v>2127</v>
      </c>
      <c r="C714" t="s">
        <v>3329</v>
      </c>
      <c r="D714" t="s">
        <v>3330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3331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  <c r="W714" t="s">
        <v>3328</v>
      </c>
      <c r="X714" t="str">
        <v>10-02-24</v>
      </c>
      <c r="Y714" t="str">
        <v>18-02-24</v>
      </c>
      <c r="Z714" t="s">
        <v>3330</v>
      </c>
      <c r="AA714" t="str">
        <v>Isha Nair</v>
      </c>
      <c r="AB714" t="str">
        <f t="shared" si="111"/>
        <v>Home Office</v>
      </c>
      <c r="AC714" t="str">
        <f t="shared" si="112"/>
        <v>West</v>
      </c>
      <c r="AD714" t="str">
        <f t="shared" si="113"/>
        <v>Madhya Pradesh</v>
      </c>
      <c r="AE714" t="str">
        <f t="shared" si="114"/>
        <v>Indore</v>
      </c>
      <c r="AF714" t="str">
        <f t="shared" si="115"/>
        <v>Furniture</v>
      </c>
      <c r="AG714" t="str">
        <f t="shared" si="116"/>
        <v>Chairs</v>
      </c>
      <c r="AH714" t="str">
        <f t="shared" si="117"/>
        <v>Smart Chairs 259</v>
      </c>
      <c r="AI714" t="str">
        <f t="shared" si="118"/>
        <v>First Class</v>
      </c>
      <c r="AJ714" s="3" t="str">
        <f t="shared" si="119"/>
        <v>anomaly</v>
      </c>
      <c r="AK714">
        <f t="shared" si="120"/>
        <v>8</v>
      </c>
    </row>
    <row r="715" spans="1:37">
      <c r="A715" t="s">
        <v>3332</v>
      </c>
      <c r="B715" t="s">
        <v>3333</v>
      </c>
      <c r="C715" t="s">
        <v>3180</v>
      </c>
      <c r="D715" t="s">
        <v>902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3334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  <c r="W715" t="s">
        <v>3332</v>
      </c>
      <c r="X715" t="str">
        <v>06-06-25</v>
      </c>
      <c r="Y715" t="str">
        <v>06-10-25</v>
      </c>
      <c r="Z715" t="s">
        <v>902</v>
      </c>
      <c r="AA715" t="str">
        <v>Mira Das</v>
      </c>
      <c r="AB715" t="str">
        <f t="shared" si="111"/>
        <v>Consumer</v>
      </c>
      <c r="AC715" t="str">
        <f t="shared" si="112"/>
        <v>West</v>
      </c>
      <c r="AD715" t="str">
        <f t="shared" si="113"/>
        <v>Rajasthan</v>
      </c>
      <c r="AE715" t="str">
        <f t="shared" si="114"/>
        <v>Udaipur</v>
      </c>
      <c r="AF715" t="str">
        <f t="shared" si="115"/>
        <v>Technology</v>
      </c>
      <c r="AG715" t="str">
        <f t="shared" si="116"/>
        <v>Machines</v>
      </c>
      <c r="AH715" t="str">
        <f t="shared" si="117"/>
        <v>Pro Machines 987</v>
      </c>
      <c r="AI715" t="str">
        <f t="shared" si="118"/>
        <v>Second Class</v>
      </c>
      <c r="AJ715" s="3" t="str">
        <f t="shared" si="119"/>
        <v>anomaly</v>
      </c>
      <c r="AK715">
        <f t="shared" si="120"/>
        <v>122</v>
      </c>
    </row>
    <row r="716" spans="1:37">
      <c r="A716" t="s">
        <v>3335</v>
      </c>
      <c r="B716" t="s">
        <v>2113</v>
      </c>
      <c r="C716" t="s">
        <v>2229</v>
      </c>
      <c r="D716" t="s">
        <v>3336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3337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  <c r="W716" t="s">
        <v>3335</v>
      </c>
      <c r="X716" t="str">
        <v>22-03-25</v>
      </c>
      <c r="Y716" t="str">
        <v>23-03-25</v>
      </c>
      <c r="Z716" t="s">
        <v>3336</v>
      </c>
      <c r="AA716" t="str">
        <v>Karan Malhotra</v>
      </c>
      <c r="AB716" t="str">
        <f t="shared" si="111"/>
        <v>Home Office</v>
      </c>
      <c r="AC716" t="str">
        <f t="shared" si="112"/>
        <v>North</v>
      </c>
      <c r="AD716" t="str">
        <f t="shared" si="113"/>
        <v>Delhi</v>
      </c>
      <c r="AE716" t="str">
        <f t="shared" si="114"/>
        <v>New Delhi</v>
      </c>
      <c r="AF716" t="str">
        <f t="shared" si="115"/>
        <v>Technology</v>
      </c>
      <c r="AG716" t="str">
        <f t="shared" si="116"/>
        <v>Copiers</v>
      </c>
      <c r="AH716" t="str">
        <f t="shared" si="117"/>
        <v>Pro Copiers 206</v>
      </c>
      <c r="AI716" t="str">
        <f t="shared" si="118"/>
        <v>Standard Class</v>
      </c>
      <c r="AJ716" s="3" t="str">
        <f t="shared" si="119"/>
        <v>anomaly</v>
      </c>
      <c r="AK716">
        <f t="shared" si="120"/>
        <v>1</v>
      </c>
    </row>
    <row r="717" spans="1:37">
      <c r="A717" t="s">
        <v>3338</v>
      </c>
      <c r="B717" t="s">
        <v>454</v>
      </c>
      <c r="C717" t="s">
        <v>455</v>
      </c>
      <c r="D717" t="s">
        <v>3339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3340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  <c r="W717" t="s">
        <v>3338</v>
      </c>
      <c r="X717" t="str">
        <v>22-08-25</v>
      </c>
      <c r="Y717" t="str">
        <v>27-08-25</v>
      </c>
      <c r="Z717" t="s">
        <v>3339</v>
      </c>
      <c r="AA717" t="str">
        <v>Priya Menon</v>
      </c>
      <c r="AB717" t="str">
        <f t="shared" si="111"/>
        <v>Consumer</v>
      </c>
      <c r="AC717" t="str">
        <f t="shared" si="112"/>
        <v>North</v>
      </c>
      <c r="AD717" t="str">
        <f t="shared" si="113"/>
        <v>Haryana</v>
      </c>
      <c r="AE717" t="str">
        <f t="shared" si="114"/>
        <v>Gurugram</v>
      </c>
      <c r="AF717" t="str">
        <f t="shared" si="115"/>
        <v>Furniture</v>
      </c>
      <c r="AG717" t="str">
        <f t="shared" si="116"/>
        <v>Chairs</v>
      </c>
      <c r="AH717" t="str">
        <f t="shared" si="117"/>
        <v>Max Chairs 372</v>
      </c>
      <c r="AI717" t="str">
        <f t="shared" si="118"/>
        <v>Second Class</v>
      </c>
      <c r="AJ717" s="3" t="str">
        <f t="shared" si="119"/>
        <v>anomaly</v>
      </c>
      <c r="AK717">
        <f t="shared" si="120"/>
        <v>5</v>
      </c>
    </row>
    <row r="718" spans="1:37">
      <c r="A718" t="s">
        <v>3341</v>
      </c>
      <c r="B718" t="s">
        <v>3342</v>
      </c>
      <c r="C718" t="s">
        <v>202</v>
      </c>
      <c r="D718" t="s">
        <v>3343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3344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  <c r="W718" t="s">
        <v>3341</v>
      </c>
      <c r="X718" t="str">
        <v>26-08-25</v>
      </c>
      <c r="Y718" t="str">
        <v>31-08-25</v>
      </c>
      <c r="Z718" t="s">
        <v>3343</v>
      </c>
      <c r="AA718" t="str">
        <v>Diya Patel</v>
      </c>
      <c r="AB718" t="str">
        <f t="shared" si="111"/>
        <v>Small Business</v>
      </c>
      <c r="AC718" t="str">
        <f t="shared" si="112"/>
        <v>North</v>
      </c>
      <c r="AD718" t="str">
        <f t="shared" si="113"/>
        <v>Haryana</v>
      </c>
      <c r="AE718" t="str">
        <f t="shared" si="114"/>
        <v>Gurugram</v>
      </c>
      <c r="AF718" t="str">
        <f t="shared" si="115"/>
        <v>Technology</v>
      </c>
      <c r="AG718" t="str">
        <f t="shared" si="116"/>
        <v>Phones</v>
      </c>
      <c r="AH718" t="str">
        <f t="shared" si="117"/>
        <v>Basic Phones 496</v>
      </c>
      <c r="AI718" t="str">
        <f t="shared" si="118"/>
        <v>First Class</v>
      </c>
      <c r="AJ718" s="3" t="str">
        <f t="shared" si="119"/>
        <v>anomaly</v>
      </c>
      <c r="AK718">
        <f t="shared" si="120"/>
        <v>5</v>
      </c>
    </row>
    <row r="719" spans="1:37">
      <c r="A719" t="s">
        <v>3345</v>
      </c>
      <c r="B719" t="s">
        <v>3346</v>
      </c>
      <c r="C719" t="s">
        <v>309</v>
      </c>
      <c r="D719" t="s">
        <v>3347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3348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  <c r="W719" t="s">
        <v>3345</v>
      </c>
      <c r="X719" t="str">
        <v>12-10-25</v>
      </c>
      <c r="Y719" t="str">
        <v>15-10-25</v>
      </c>
      <c r="Z719" t="s">
        <v>3347</v>
      </c>
      <c r="AA719" t="str">
        <v>Kabir Singh</v>
      </c>
      <c r="AB719" t="str">
        <f t="shared" si="111"/>
        <v>Small Business</v>
      </c>
      <c r="AC719" t="str">
        <f t="shared" si="112"/>
        <v>North</v>
      </c>
      <c r="AD719" t="str">
        <f t="shared" si="113"/>
        <v>Haryana</v>
      </c>
      <c r="AE719" t="str">
        <f t="shared" si="114"/>
        <v>Gurugram</v>
      </c>
      <c r="AF719" t="str">
        <f t="shared" si="115"/>
        <v>Technology</v>
      </c>
      <c r="AG719" t="str">
        <f t="shared" si="116"/>
        <v>Machines</v>
      </c>
      <c r="AH719" t="str">
        <f t="shared" si="117"/>
        <v>Prime Machines 612</v>
      </c>
      <c r="AI719" t="str">
        <f t="shared" si="118"/>
        <v>Standard Class</v>
      </c>
      <c r="AJ719" s="3" t="str">
        <f t="shared" si="119"/>
        <v>anomaly</v>
      </c>
      <c r="AK719">
        <f t="shared" si="120"/>
        <v>3</v>
      </c>
    </row>
    <row r="720" spans="1:37">
      <c r="A720" t="s">
        <v>3349</v>
      </c>
      <c r="B720" t="s">
        <v>3350</v>
      </c>
      <c r="C720" t="s">
        <v>875</v>
      </c>
      <c r="D720" t="s">
        <v>3351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3352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  <c r="W720" t="s">
        <v>3349</v>
      </c>
      <c r="X720" t="str">
        <v>06-09-24</v>
      </c>
      <c r="Y720" t="str">
        <v>09-09-24</v>
      </c>
      <c r="Z720" t="s">
        <v>3351</v>
      </c>
      <c r="AA720" t="str">
        <v>Mira Das</v>
      </c>
      <c r="AB720" t="str">
        <f t="shared" si="111"/>
        <v>Consumer</v>
      </c>
      <c r="AC720" t="str">
        <f t="shared" si="112"/>
        <v>West</v>
      </c>
      <c r="AD720" t="str">
        <f t="shared" si="113"/>
        <v>Maharashtra</v>
      </c>
      <c r="AE720" t="str">
        <f t="shared" si="114"/>
        <v>Mumbai</v>
      </c>
      <c r="AF720" t="str">
        <f t="shared" si="115"/>
        <v>Office Supplies</v>
      </c>
      <c r="AG720" t="str">
        <f t="shared" si="116"/>
        <v>Art</v>
      </c>
      <c r="AH720" t="str">
        <f t="shared" si="117"/>
        <v>Smart Art 866</v>
      </c>
      <c r="AI720" t="str">
        <f t="shared" si="118"/>
        <v>Same Day</v>
      </c>
      <c r="AJ720" s="3" t="str">
        <f t="shared" si="119"/>
        <v>anomaly</v>
      </c>
      <c r="AK720">
        <f t="shared" si="120"/>
        <v>3</v>
      </c>
    </row>
    <row r="721" spans="1:37">
      <c r="A721" t="s">
        <v>3353</v>
      </c>
      <c r="B721" t="s">
        <v>1722</v>
      </c>
      <c r="C721" t="s">
        <v>1723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3354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  <c r="W721" t="s">
        <v>3353</v>
      </c>
      <c r="X721" t="str">
        <v>08-09-25</v>
      </c>
      <c r="Y721" t="str">
        <v>09-09-25</v>
      </c>
      <c r="Z721" t="s">
        <v>185</v>
      </c>
      <c r="AA721" t="str">
        <v>Kabir Singh</v>
      </c>
      <c r="AB721" t="str">
        <f t="shared" si="111"/>
        <v>Corporate</v>
      </c>
      <c r="AC721" t="str">
        <f t="shared" si="112"/>
        <v>West</v>
      </c>
      <c r="AD721" t="str">
        <f t="shared" si="113"/>
        <v>Gujarat</v>
      </c>
      <c r="AE721" t="str">
        <f t="shared" si="114"/>
        <v>Ahmedabad</v>
      </c>
      <c r="AF721" t="str">
        <f t="shared" si="115"/>
        <v>Office Supplies</v>
      </c>
      <c r="AG721" t="str">
        <f t="shared" si="116"/>
        <v>Art</v>
      </c>
      <c r="AH721" t="str">
        <f t="shared" si="117"/>
        <v>Pro Art 447</v>
      </c>
      <c r="AI721" t="str">
        <f t="shared" si="118"/>
        <v>Same Day</v>
      </c>
      <c r="AJ721" s="3" t="str">
        <f t="shared" si="119"/>
        <v>anomaly</v>
      </c>
      <c r="AK721">
        <f t="shared" si="120"/>
        <v>1</v>
      </c>
    </row>
    <row r="722" spans="1:37">
      <c r="A722" t="s">
        <v>3355</v>
      </c>
      <c r="B722" t="s">
        <v>1108</v>
      </c>
      <c r="C722" t="s">
        <v>3356</v>
      </c>
      <c r="D722" t="s">
        <v>3357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3358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  <c r="W722" t="s">
        <v>3355</v>
      </c>
      <c r="X722" t="str">
        <v>16-07-24</v>
      </c>
      <c r="Y722" t="str">
        <v>invalid date</v>
      </c>
      <c r="Z722" t="s">
        <v>3357</v>
      </c>
      <c r="AA722" t="str">
        <v>Aditi Sen</v>
      </c>
      <c r="AB722" t="str">
        <f t="shared" si="111"/>
        <v>Home Office</v>
      </c>
      <c r="AC722" t="str">
        <f t="shared" si="112"/>
        <v>West</v>
      </c>
      <c r="AD722" t="str">
        <f t="shared" si="113"/>
        <v>Madhya Pradesh</v>
      </c>
      <c r="AE722" t="str">
        <f t="shared" si="114"/>
        <v>Indore</v>
      </c>
      <c r="AF722" t="str">
        <f t="shared" si="115"/>
        <v>Technology</v>
      </c>
      <c r="AG722" t="str">
        <f t="shared" si="116"/>
        <v>Copiers</v>
      </c>
      <c r="AH722" t="str">
        <f t="shared" si="117"/>
        <v>Smart Copiers 196</v>
      </c>
      <c r="AI722" t="str">
        <f t="shared" si="118"/>
        <v>Same Day</v>
      </c>
      <c r="AJ722" s="3" t="str">
        <f t="shared" si="119"/>
        <v>Invalid</v>
      </c>
      <c r="AK722" t="str">
        <f t="shared" si="120"/>
        <v>invalid date</v>
      </c>
    </row>
    <row r="723" spans="1:37">
      <c r="A723" t="s">
        <v>3359</v>
      </c>
      <c r="B723" t="s">
        <v>254</v>
      </c>
      <c r="C723" t="s">
        <v>3360</v>
      </c>
      <c r="D723" t="s">
        <v>3361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3362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  <c r="W723" t="s">
        <v>3359</v>
      </c>
      <c r="X723" t="str">
        <v>19-06-25</v>
      </c>
      <c r="Y723" t="str">
        <v>23-06-25</v>
      </c>
      <c r="Z723" t="s">
        <v>3361</v>
      </c>
      <c r="AA723" t="str">
        <v>Sneha Kapoor</v>
      </c>
      <c r="AB723" t="str">
        <f t="shared" si="111"/>
        <v>Consumer</v>
      </c>
      <c r="AC723" t="str">
        <f t="shared" si="112"/>
        <v>South</v>
      </c>
      <c r="AD723" t="str">
        <f t="shared" si="113"/>
        <v>Karnataka</v>
      </c>
      <c r="AE723" t="str">
        <f t="shared" si="114"/>
        <v>Bengaluru</v>
      </c>
      <c r="AF723" t="str">
        <f t="shared" si="115"/>
        <v>Technology</v>
      </c>
      <c r="AG723" t="str">
        <f t="shared" si="116"/>
        <v>Copiers</v>
      </c>
      <c r="AH723" t="str">
        <f t="shared" si="117"/>
        <v>Pro Copiers 532</v>
      </c>
      <c r="AI723" t="str">
        <f t="shared" si="118"/>
        <v>First Class</v>
      </c>
      <c r="AJ723" s="3" t="str">
        <f t="shared" si="119"/>
        <v>anomaly</v>
      </c>
      <c r="AK723">
        <f t="shared" si="120"/>
        <v>4</v>
      </c>
    </row>
    <row r="724" spans="1:37">
      <c r="A724" t="s">
        <v>3363</v>
      </c>
      <c r="B724" t="s">
        <v>2555</v>
      </c>
      <c r="C724" t="s">
        <v>3364</v>
      </c>
      <c r="D724" t="s">
        <v>3365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3366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  <c r="W724" t="s">
        <v>3363</v>
      </c>
      <c r="X724" t="str">
        <v>07-10-24</v>
      </c>
      <c r="Y724" t="str">
        <v>10-10-24</v>
      </c>
      <c r="Z724" t="s">
        <v>3365</v>
      </c>
      <c r="AA724" t="str">
        <v>Vikram Iyer</v>
      </c>
      <c r="AB724" t="str">
        <f t="shared" si="111"/>
        <v>Consumer</v>
      </c>
      <c r="AC724" t="str">
        <f t="shared" si="112"/>
        <v>East</v>
      </c>
      <c r="AD724" t="str">
        <f t="shared" si="113"/>
        <v>West Bengal</v>
      </c>
      <c r="AE724" t="str">
        <f t="shared" si="114"/>
        <v>Kolkata</v>
      </c>
      <c r="AF724" t="str">
        <f t="shared" si="115"/>
        <v>Furniture</v>
      </c>
      <c r="AG724" t="str">
        <f t="shared" si="116"/>
        <v>Chairs</v>
      </c>
      <c r="AH724" t="str">
        <f t="shared" si="117"/>
        <v>Eco Chairs 442</v>
      </c>
      <c r="AI724" t="str">
        <f t="shared" si="118"/>
        <v>Second Class</v>
      </c>
      <c r="AJ724" s="3" t="str">
        <f t="shared" si="119"/>
        <v>anomaly</v>
      </c>
      <c r="AK724">
        <f t="shared" si="120"/>
        <v>3</v>
      </c>
    </row>
    <row r="725" spans="1:37">
      <c r="A725" t="s">
        <v>3367</v>
      </c>
      <c r="B725" t="s">
        <v>886</v>
      </c>
      <c r="C725" t="s">
        <v>3368</v>
      </c>
      <c r="D725" t="s">
        <v>3369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3370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  <c r="W725" t="s">
        <v>3367</v>
      </c>
      <c r="X725" t="str">
        <v>10-06-25</v>
      </c>
      <c r="Y725" t="str">
        <v>13-10-25</v>
      </c>
      <c r="Z725" t="s">
        <v>3369</v>
      </c>
      <c r="AA725" t="str">
        <v>Kabir Singh</v>
      </c>
      <c r="AB725" t="str">
        <f t="shared" si="111"/>
        <v>Home Office</v>
      </c>
      <c r="AC725" t="str">
        <f t="shared" si="112"/>
        <v>East</v>
      </c>
      <c r="AD725" t="str">
        <f t="shared" si="113"/>
        <v>Jharkhand</v>
      </c>
      <c r="AE725" t="str">
        <f t="shared" si="114"/>
        <v>Ranchi</v>
      </c>
      <c r="AF725" t="str">
        <f t="shared" si="115"/>
        <v>Technology</v>
      </c>
      <c r="AG725" t="str">
        <f t="shared" si="116"/>
        <v>Accessories</v>
      </c>
      <c r="AH725" t="str">
        <f t="shared" si="117"/>
        <v>Eco Accessories 364</v>
      </c>
      <c r="AI725" t="str">
        <f t="shared" si="118"/>
        <v>Standard Class</v>
      </c>
      <c r="AJ725" s="3" t="str">
        <f t="shared" si="119"/>
        <v>anomaly</v>
      </c>
      <c r="AK725">
        <f t="shared" si="120"/>
        <v>125</v>
      </c>
    </row>
    <row r="726" spans="1:37">
      <c r="A726" t="s">
        <v>3371</v>
      </c>
      <c r="B726" t="s">
        <v>3372</v>
      </c>
      <c r="C726" t="s">
        <v>1609</v>
      </c>
      <c r="D726" t="s">
        <v>3373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3374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  <c r="W726" t="s">
        <v>3371</v>
      </c>
      <c r="X726" t="str">
        <v>02-10-24</v>
      </c>
      <c r="Y726" t="str">
        <v>16-02-24</v>
      </c>
      <c r="Z726" t="s">
        <v>3373</v>
      </c>
      <c r="AA726" t="str">
        <v>Karan Malhotra</v>
      </c>
      <c r="AB726" t="str">
        <f t="shared" si="111"/>
        <v>Consumer</v>
      </c>
      <c r="AC726" t="str">
        <f t="shared" si="112"/>
        <v>West</v>
      </c>
      <c r="AD726" t="str">
        <f t="shared" si="113"/>
        <v>Goa</v>
      </c>
      <c r="AE726" t="str">
        <f t="shared" si="114"/>
        <v>Panaji</v>
      </c>
      <c r="AF726" t="str">
        <f t="shared" si="115"/>
        <v>Furniture</v>
      </c>
      <c r="AG726" t="str">
        <f t="shared" si="116"/>
        <v>Furnishings</v>
      </c>
      <c r="AH726" t="str">
        <f t="shared" si="117"/>
        <v>Elite Furnishings 921</v>
      </c>
      <c r="AI726" t="str">
        <f t="shared" si="118"/>
        <v>Second Class</v>
      </c>
      <c r="AJ726" s="3" t="str">
        <f t="shared" si="119"/>
        <v>anomaly</v>
      </c>
      <c r="AK726">
        <f t="shared" si="120"/>
        <v>-229</v>
      </c>
    </row>
    <row r="727" spans="1:37">
      <c r="A727" t="s">
        <v>3375</v>
      </c>
      <c r="B727" t="s">
        <v>3376</v>
      </c>
      <c r="C727" t="s">
        <v>139</v>
      </c>
      <c r="D727" t="s">
        <v>3377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3378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  <c r="W727" t="s">
        <v>3375</v>
      </c>
      <c r="X727" t="str">
        <v>10-05-25</v>
      </c>
      <c r="Y727" t="str">
        <v>12-10-25</v>
      </c>
      <c r="Z727" t="s">
        <v>3377</v>
      </c>
      <c r="AA727" t="str">
        <v>Priya Menon</v>
      </c>
      <c r="AB727" t="str">
        <f t="shared" si="111"/>
        <v>Corporate</v>
      </c>
      <c r="AC727" t="str">
        <f t="shared" si="112"/>
        <v>South</v>
      </c>
      <c r="AD727" t="str">
        <f t="shared" si="113"/>
        <v>Karnataka</v>
      </c>
      <c r="AE727" t="str">
        <f t="shared" si="114"/>
        <v>Bengaluru</v>
      </c>
      <c r="AF727" t="str">
        <f t="shared" si="115"/>
        <v>Furniture</v>
      </c>
      <c r="AG727" t="str">
        <f t="shared" si="116"/>
        <v>Tables</v>
      </c>
      <c r="AH727" t="str">
        <f t="shared" si="117"/>
        <v>Max Tables 309</v>
      </c>
      <c r="AI727" t="str">
        <f t="shared" si="118"/>
        <v>Second Class</v>
      </c>
      <c r="AJ727" s="3" t="str">
        <f t="shared" si="119"/>
        <v>anomaly</v>
      </c>
      <c r="AK727">
        <f t="shared" si="120"/>
        <v>155</v>
      </c>
    </row>
    <row r="728" spans="1:37">
      <c r="A728" t="s">
        <v>3379</v>
      </c>
      <c r="B728" t="s">
        <v>3380</v>
      </c>
      <c r="C728" t="s">
        <v>3381</v>
      </c>
      <c r="D728" t="s">
        <v>3382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3383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  <c r="W728" t="s">
        <v>3379</v>
      </c>
      <c r="X728" t="str">
        <v>17-01-24</v>
      </c>
      <c r="Y728" t="str">
        <v>invalid date</v>
      </c>
      <c r="Z728" t="s">
        <v>3382</v>
      </c>
      <c r="AA728" t="str">
        <v>Kabir Singh</v>
      </c>
      <c r="AB728" t="str">
        <f t="shared" si="111"/>
        <v>Home Office</v>
      </c>
      <c r="AC728" t="str">
        <f t="shared" si="112"/>
        <v>West</v>
      </c>
      <c r="AD728" t="str">
        <f t="shared" si="113"/>
        <v>Gujarat</v>
      </c>
      <c r="AE728" t="str">
        <f t="shared" si="114"/>
        <v>Ahmedabad</v>
      </c>
      <c r="AF728" t="str">
        <f t="shared" si="115"/>
        <v>Technology</v>
      </c>
      <c r="AG728" t="str">
        <f t="shared" si="116"/>
        <v>Phones</v>
      </c>
      <c r="AH728" t="str">
        <f t="shared" si="117"/>
        <v>Pro Phones 857</v>
      </c>
      <c r="AI728" t="str">
        <f t="shared" si="118"/>
        <v>Standard Class</v>
      </c>
      <c r="AJ728" s="3" t="str">
        <f t="shared" si="119"/>
        <v>Invalid</v>
      </c>
      <c r="AK728" t="str">
        <f t="shared" si="120"/>
        <v>invalid date</v>
      </c>
    </row>
    <row r="729" spans="1:37">
      <c r="A729" t="s">
        <v>3384</v>
      </c>
      <c r="B729" t="s">
        <v>3385</v>
      </c>
      <c r="C729" t="s">
        <v>3385</v>
      </c>
      <c r="D729" t="s">
        <v>3386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3387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  <c r="W729" t="s">
        <v>3384</v>
      </c>
      <c r="X729" t="str">
        <v>13-10-24</v>
      </c>
      <c r="Y729" t="str">
        <v>13-10-24</v>
      </c>
      <c r="Z729" t="s">
        <v>3386</v>
      </c>
      <c r="AA729" t="str">
        <v>Aarav Sharma</v>
      </c>
      <c r="AB729" t="str">
        <f t="shared" si="111"/>
        <v>Small Business</v>
      </c>
      <c r="AC729" t="str">
        <f t="shared" si="112"/>
        <v>East</v>
      </c>
      <c r="AD729" t="str">
        <f t="shared" si="113"/>
        <v>Assam</v>
      </c>
      <c r="AE729" t="str">
        <f t="shared" si="114"/>
        <v>Guwahati</v>
      </c>
      <c r="AF729" t="str">
        <f t="shared" si="115"/>
        <v>Technology</v>
      </c>
      <c r="AG729" t="str">
        <f t="shared" si="116"/>
        <v>Accessories</v>
      </c>
      <c r="AH729" t="str">
        <f t="shared" si="117"/>
        <v>Max Accessories 567</v>
      </c>
      <c r="AI729" t="str">
        <f t="shared" si="118"/>
        <v>Second Class</v>
      </c>
      <c r="AJ729" s="3" t="str">
        <f t="shared" si="119"/>
        <v xml:space="preserve">  </v>
      </c>
      <c r="AK729">
        <f t="shared" si="120"/>
        <v>0</v>
      </c>
    </row>
    <row r="730" spans="1:37">
      <c r="A730" t="s">
        <v>3388</v>
      </c>
      <c r="B730" t="s">
        <v>3050</v>
      </c>
      <c r="C730" t="s">
        <v>1760</v>
      </c>
      <c r="D730" t="s">
        <v>3389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3390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  <c r="W730" t="s">
        <v>3388</v>
      </c>
      <c r="X730" t="str">
        <v>04-01-24</v>
      </c>
      <c r="Y730" t="str">
        <v>07-01-24</v>
      </c>
      <c r="Z730" t="s">
        <v>3389</v>
      </c>
      <c r="AA730" t="str">
        <v>Sneha Kapoor</v>
      </c>
      <c r="AB730" t="str">
        <f t="shared" si="111"/>
        <v>Small Business</v>
      </c>
      <c r="AC730" t="str">
        <f t="shared" si="112"/>
        <v>South</v>
      </c>
      <c r="AD730" t="str">
        <f t="shared" si="113"/>
        <v>Karnataka</v>
      </c>
      <c r="AE730" t="str">
        <f t="shared" si="114"/>
        <v>Bengaluru</v>
      </c>
      <c r="AF730" t="str">
        <f t="shared" si="115"/>
        <v>Technology</v>
      </c>
      <c r="AG730" t="str">
        <f t="shared" si="116"/>
        <v>Machines</v>
      </c>
      <c r="AH730" t="str">
        <f t="shared" si="117"/>
        <v>Max Machines 200</v>
      </c>
      <c r="AI730" t="str">
        <f t="shared" si="118"/>
        <v>First Class</v>
      </c>
      <c r="AJ730" s="3" t="str">
        <f t="shared" si="119"/>
        <v>anomaly</v>
      </c>
      <c r="AK730">
        <f t="shared" si="120"/>
        <v>3</v>
      </c>
    </row>
    <row r="731" spans="1:37">
      <c r="A731" t="s">
        <v>3391</v>
      </c>
      <c r="B731" t="s">
        <v>3392</v>
      </c>
      <c r="C731" t="s">
        <v>3393</v>
      </c>
      <c r="D731" t="s">
        <v>3394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3395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  <c r="W731" t="s">
        <v>3391</v>
      </c>
      <c r="X731" t="str">
        <v>17-05-25</v>
      </c>
      <c r="Y731" t="str">
        <v>25-05-25</v>
      </c>
      <c r="Z731" t="s">
        <v>3394</v>
      </c>
      <c r="AA731" t="str">
        <v>Ananya Rao</v>
      </c>
      <c r="AB731" t="str">
        <f t="shared" si="111"/>
        <v>Corporate</v>
      </c>
      <c r="AC731" t="str">
        <f t="shared" si="112"/>
        <v>South</v>
      </c>
      <c r="AD731" t="str">
        <f t="shared" si="113"/>
        <v>Tamil Nadu</v>
      </c>
      <c r="AE731" t="str">
        <f t="shared" si="114"/>
        <v>Chennai</v>
      </c>
      <c r="AF731" t="str">
        <f t="shared" si="115"/>
        <v>Technology</v>
      </c>
      <c r="AG731" t="str">
        <f t="shared" si="116"/>
        <v>Machines</v>
      </c>
      <c r="AH731" t="str">
        <f t="shared" si="117"/>
        <v>Pro Machines 563</v>
      </c>
      <c r="AI731" t="str">
        <f t="shared" si="118"/>
        <v>Same Day</v>
      </c>
      <c r="AJ731" s="3" t="str">
        <f t="shared" si="119"/>
        <v>anomaly</v>
      </c>
      <c r="AK731">
        <f t="shared" si="120"/>
        <v>8</v>
      </c>
    </row>
    <row r="732" spans="1:37">
      <c r="A732" t="s">
        <v>3396</v>
      </c>
      <c r="B732" t="s">
        <v>3397</v>
      </c>
      <c r="C732" t="s">
        <v>3308</v>
      </c>
      <c r="D732" t="s">
        <v>3398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3399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  <c r="W732" t="s">
        <v>3396</v>
      </c>
      <c r="X732" t="str">
        <v>invalid date</v>
      </c>
      <c r="Y732" t="str">
        <v>24-06-25</v>
      </c>
      <c r="Z732" t="s">
        <v>3398</v>
      </c>
      <c r="AA732" t="str">
        <v>Arjun Bose</v>
      </c>
      <c r="AB732" t="str">
        <f t="shared" si="111"/>
        <v>Consumer</v>
      </c>
      <c r="AC732" t="str">
        <f t="shared" si="112"/>
        <v>East</v>
      </c>
      <c r="AD732" t="str">
        <f t="shared" si="113"/>
        <v>West Bengal</v>
      </c>
      <c r="AE732" t="str">
        <f t="shared" si="114"/>
        <v>Kolkata</v>
      </c>
      <c r="AF732" t="str">
        <f t="shared" si="115"/>
        <v>Office Supplies</v>
      </c>
      <c r="AG732" t="str">
        <f t="shared" si="116"/>
        <v>Art</v>
      </c>
      <c r="AH732" t="str">
        <f t="shared" si="117"/>
        <v>Elite Art 696</v>
      </c>
      <c r="AI732" t="str">
        <f t="shared" si="118"/>
        <v>Second Class</v>
      </c>
      <c r="AJ732" s="3" t="str">
        <f t="shared" si="119"/>
        <v>Invalid</v>
      </c>
      <c r="AK732" t="str">
        <f t="shared" si="120"/>
        <v>invalid date</v>
      </c>
    </row>
    <row r="733" spans="1:37">
      <c r="A733" t="s">
        <v>3400</v>
      </c>
      <c r="B733" t="s">
        <v>3401</v>
      </c>
      <c r="C733" t="s">
        <v>3402</v>
      </c>
      <c r="D733" t="s">
        <v>3403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3404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  <c r="W733" t="s">
        <v>3400</v>
      </c>
      <c r="X733" t="str">
        <v>17-03-24</v>
      </c>
      <c r="Y733" t="str">
        <v>19-03-24</v>
      </c>
      <c r="Z733" t="s">
        <v>3403</v>
      </c>
      <c r="AA733" t="str">
        <v>Ananya Rao</v>
      </c>
      <c r="AB733" t="str">
        <f t="shared" si="111"/>
        <v>Corporate</v>
      </c>
      <c r="AC733" t="str">
        <f t="shared" si="112"/>
        <v>East</v>
      </c>
      <c r="AD733" t="str">
        <f t="shared" si="113"/>
        <v>Odisha</v>
      </c>
      <c r="AE733" t="str">
        <f t="shared" si="114"/>
        <v>Bhubaneswar</v>
      </c>
      <c r="AF733" t="str">
        <f t="shared" si="115"/>
        <v>Office Supplies</v>
      </c>
      <c r="AG733" t="str">
        <f t="shared" si="116"/>
        <v>Binders</v>
      </c>
      <c r="AH733" t="str">
        <f t="shared" si="117"/>
        <v>Eco Binders 178</v>
      </c>
      <c r="AI733" t="str">
        <f t="shared" si="118"/>
        <v>First Class</v>
      </c>
      <c r="AJ733" s="3" t="str">
        <f t="shared" si="119"/>
        <v>anomaly</v>
      </c>
      <c r="AK733">
        <f t="shared" si="120"/>
        <v>2</v>
      </c>
    </row>
    <row r="734" spans="1:37">
      <c r="A734" t="s">
        <v>3405</v>
      </c>
      <c r="B734" t="s">
        <v>3406</v>
      </c>
      <c r="C734" t="s">
        <v>2819</v>
      </c>
      <c r="D734" t="s">
        <v>3407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3408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  <c r="W734" t="s">
        <v>3405</v>
      </c>
      <c r="X734" t="str">
        <v>28-11-24</v>
      </c>
      <c r="Y734" t="str">
        <v>06-12-24</v>
      </c>
      <c r="Z734" t="s">
        <v>3407</v>
      </c>
      <c r="AA734" t="str">
        <v>Arjun Bose</v>
      </c>
      <c r="AB734" t="str">
        <f t="shared" si="111"/>
        <v>Small Business</v>
      </c>
      <c r="AC734" t="str">
        <f t="shared" si="112"/>
        <v>North</v>
      </c>
      <c r="AD734" t="str">
        <f t="shared" si="113"/>
        <v>Punjab</v>
      </c>
      <c r="AE734" t="str">
        <f t="shared" si="114"/>
        <v>Ludhiana</v>
      </c>
      <c r="AF734" t="str">
        <f t="shared" si="115"/>
        <v>Technology</v>
      </c>
      <c r="AG734" t="str">
        <f t="shared" si="116"/>
        <v>Phones</v>
      </c>
      <c r="AH734" t="str">
        <f t="shared" si="117"/>
        <v>Max Phones 678</v>
      </c>
      <c r="AI734" t="str">
        <f t="shared" si="118"/>
        <v>Standard Class</v>
      </c>
      <c r="AJ734" s="3" t="str">
        <f t="shared" si="119"/>
        <v xml:space="preserve">  </v>
      </c>
      <c r="AK734">
        <f t="shared" si="120"/>
        <v>8</v>
      </c>
    </row>
    <row r="735" spans="1:37">
      <c r="A735" t="s">
        <v>3409</v>
      </c>
      <c r="B735" t="s">
        <v>1830</v>
      </c>
      <c r="C735" t="s">
        <v>3410</v>
      </c>
      <c r="D735" t="s">
        <v>3411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3412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  <c r="W735" t="s">
        <v>3409</v>
      </c>
      <c r="X735" t="str">
        <v>21-06-24</v>
      </c>
      <c r="Y735" t="str">
        <v>28-06-24</v>
      </c>
      <c r="Z735" t="s">
        <v>3411</v>
      </c>
      <c r="AA735" t="str">
        <v>Aarav Sharma</v>
      </c>
      <c r="AB735" t="str">
        <f t="shared" si="111"/>
        <v>Home Office</v>
      </c>
      <c r="AC735" t="str">
        <f t="shared" si="112"/>
        <v>North</v>
      </c>
      <c r="AD735" t="str">
        <f t="shared" si="113"/>
        <v>Rajasthan</v>
      </c>
      <c r="AE735" t="str">
        <f t="shared" si="114"/>
        <v>Jaipur</v>
      </c>
      <c r="AF735" t="str">
        <f t="shared" si="115"/>
        <v>Furniture</v>
      </c>
      <c r="AG735" t="str">
        <f t="shared" si="116"/>
        <v>Furnishings</v>
      </c>
      <c r="AH735" t="str">
        <f t="shared" si="117"/>
        <v>Classic Furnishings 582</v>
      </c>
      <c r="AI735" t="str">
        <f t="shared" si="118"/>
        <v>First Class</v>
      </c>
      <c r="AJ735" s="3" t="str">
        <f t="shared" si="119"/>
        <v>anomaly</v>
      </c>
      <c r="AK735">
        <f t="shared" si="120"/>
        <v>7</v>
      </c>
    </row>
    <row r="736" spans="1:37">
      <c r="A736" t="s">
        <v>3413</v>
      </c>
      <c r="B736" t="s">
        <v>3414</v>
      </c>
      <c r="C736" t="s">
        <v>3414</v>
      </c>
      <c r="D736" t="s">
        <v>3415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3416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  <c r="W736" t="s">
        <v>3413</v>
      </c>
      <c r="X736" t="str">
        <v>24-08-24</v>
      </c>
      <c r="Y736" t="str">
        <v>24-08-24</v>
      </c>
      <c r="Z736" t="s">
        <v>3415</v>
      </c>
      <c r="AA736" t="str">
        <v>Ananya Rao</v>
      </c>
      <c r="AB736" t="str">
        <f t="shared" si="111"/>
        <v>Small Business</v>
      </c>
      <c r="AC736" t="str">
        <f t="shared" si="112"/>
        <v>North</v>
      </c>
      <c r="AD736" t="str">
        <f t="shared" si="113"/>
        <v>Rajasthan</v>
      </c>
      <c r="AE736" t="str">
        <f t="shared" si="114"/>
        <v>Jaipur</v>
      </c>
      <c r="AF736" t="str">
        <f t="shared" si="115"/>
        <v>Technology</v>
      </c>
      <c r="AG736" t="str">
        <f t="shared" si="116"/>
        <v>Accessories</v>
      </c>
      <c r="AH736" t="str">
        <f t="shared" si="117"/>
        <v>Classic Accessories 981</v>
      </c>
      <c r="AI736" t="str">
        <f t="shared" si="118"/>
        <v>First Class</v>
      </c>
      <c r="AJ736" s="3" t="str">
        <f t="shared" si="119"/>
        <v xml:space="preserve">  </v>
      </c>
      <c r="AK736">
        <f t="shared" si="120"/>
        <v>0</v>
      </c>
    </row>
    <row r="737" spans="1:37">
      <c r="A737" t="s">
        <v>3417</v>
      </c>
      <c r="B737" t="s">
        <v>3418</v>
      </c>
      <c r="C737" t="s">
        <v>2859</v>
      </c>
      <c r="D737" t="s">
        <v>3419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3420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  <c r="W737" t="s">
        <v>3417</v>
      </c>
      <c r="X737" t="str">
        <v>11-08-24</v>
      </c>
      <c r="Y737" t="str">
        <v>19-08-24</v>
      </c>
      <c r="Z737" t="s">
        <v>3419</v>
      </c>
      <c r="AA737" t="str">
        <v>Mira Das</v>
      </c>
      <c r="AB737" t="str">
        <f t="shared" si="111"/>
        <v>Consumer</v>
      </c>
      <c r="AC737" t="str">
        <f t="shared" si="112"/>
        <v>West</v>
      </c>
      <c r="AD737" t="str">
        <f t="shared" si="113"/>
        <v>Maharashtra</v>
      </c>
      <c r="AE737" t="str">
        <f t="shared" si="114"/>
        <v>Mumbai</v>
      </c>
      <c r="AF737" t="str">
        <f t="shared" si="115"/>
        <v>Furniture</v>
      </c>
      <c r="AG737" t="str">
        <f t="shared" si="116"/>
        <v>Tables</v>
      </c>
      <c r="AH737" t="str">
        <f t="shared" si="117"/>
        <v>Classic Tables 534</v>
      </c>
      <c r="AI737" t="str">
        <f t="shared" si="118"/>
        <v>Standard Class</v>
      </c>
      <c r="AJ737" s="3" t="str">
        <f t="shared" si="119"/>
        <v>anomaly</v>
      </c>
      <c r="AK737">
        <f t="shared" si="120"/>
        <v>8</v>
      </c>
    </row>
    <row r="738" spans="1:37">
      <c r="A738" t="s">
        <v>3421</v>
      </c>
      <c r="B738" t="s">
        <v>2819</v>
      </c>
      <c r="C738" t="s">
        <v>3422</v>
      </c>
      <c r="D738" t="s">
        <v>3423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3424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  <c r="W738" t="s">
        <v>3421</v>
      </c>
      <c r="X738" t="str">
        <v>06-12-24</v>
      </c>
      <c r="Y738" t="str">
        <v>09-12-24</v>
      </c>
      <c r="Z738" t="s">
        <v>3423</v>
      </c>
      <c r="AA738" t="str">
        <v>Aditi Sen</v>
      </c>
      <c r="AB738" t="str">
        <f t="shared" si="111"/>
        <v>Consumer</v>
      </c>
      <c r="AC738" t="str">
        <f t="shared" si="112"/>
        <v>West</v>
      </c>
      <c r="AD738" t="str">
        <f t="shared" si="113"/>
        <v>Maharashtra</v>
      </c>
      <c r="AE738" t="str">
        <f t="shared" si="114"/>
        <v>Mumbai</v>
      </c>
      <c r="AF738" t="str">
        <f t="shared" si="115"/>
        <v>Furniture</v>
      </c>
      <c r="AG738" t="str">
        <f t="shared" si="116"/>
        <v>Chairs</v>
      </c>
      <c r="AH738" t="str">
        <f t="shared" si="117"/>
        <v>Pro Chairs 383</v>
      </c>
      <c r="AI738" t="str">
        <f t="shared" si="118"/>
        <v>Second Class</v>
      </c>
      <c r="AJ738" s="3" t="str">
        <f t="shared" si="119"/>
        <v>anomaly</v>
      </c>
      <c r="AK738">
        <f t="shared" si="120"/>
        <v>3</v>
      </c>
    </row>
    <row r="739" spans="1:37">
      <c r="A739" t="s">
        <v>3425</v>
      </c>
      <c r="B739" t="s">
        <v>2247</v>
      </c>
      <c r="C739" t="s">
        <v>2127</v>
      </c>
      <c r="D739" t="s">
        <v>3426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3427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  <c r="W739" t="s">
        <v>3425</v>
      </c>
      <c r="X739" t="str">
        <v>10-02-24</v>
      </c>
      <c r="Y739" t="str">
        <v>10-02-24</v>
      </c>
      <c r="Z739" t="s">
        <v>3426</v>
      </c>
      <c r="AA739" t="str">
        <v>Isha Nair</v>
      </c>
      <c r="AB739" t="str">
        <f t="shared" si="111"/>
        <v>Home Office</v>
      </c>
      <c r="AC739" t="str">
        <f t="shared" si="112"/>
        <v>West</v>
      </c>
      <c r="AD739" t="str">
        <f t="shared" si="113"/>
        <v>Maharashtra</v>
      </c>
      <c r="AE739" t="str">
        <f t="shared" si="114"/>
        <v>Mumbai</v>
      </c>
      <c r="AF739" t="str">
        <f t="shared" si="115"/>
        <v>Furniture</v>
      </c>
      <c r="AG739" t="str">
        <f t="shared" si="116"/>
        <v>Chairs</v>
      </c>
      <c r="AH739" t="str">
        <f t="shared" si="117"/>
        <v>Max Chairs 845</v>
      </c>
      <c r="AI739" t="str">
        <f t="shared" si="118"/>
        <v>Same Day</v>
      </c>
      <c r="AJ739" s="3" t="str">
        <f t="shared" si="119"/>
        <v xml:space="preserve">  </v>
      </c>
      <c r="AK739">
        <f t="shared" si="120"/>
        <v>0</v>
      </c>
    </row>
    <row r="740" spans="1:37">
      <c r="A740" t="s">
        <v>3428</v>
      </c>
      <c r="B740" t="s">
        <v>1564</v>
      </c>
      <c r="C740" t="s">
        <v>3429</v>
      </c>
      <c r="D740" t="s">
        <v>3430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3431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  <c r="W740" t="s">
        <v>3428</v>
      </c>
      <c r="X740" t="str">
        <v>20-02-25</v>
      </c>
      <c r="Y740" t="str">
        <v>invalid date</v>
      </c>
      <c r="Z740" t="s">
        <v>3430</v>
      </c>
      <c r="AA740" t="str">
        <v>Priya Menon</v>
      </c>
      <c r="AB740" t="str">
        <f t="shared" si="111"/>
        <v>Corporate</v>
      </c>
      <c r="AC740" t="str">
        <f t="shared" si="112"/>
        <v>South</v>
      </c>
      <c r="AD740" t="str">
        <f t="shared" si="113"/>
        <v>Kerala</v>
      </c>
      <c r="AE740" t="str">
        <f t="shared" si="114"/>
        <v>Kochi</v>
      </c>
      <c r="AF740" t="str">
        <f t="shared" si="115"/>
        <v>Office Supplies</v>
      </c>
      <c r="AG740" t="str">
        <f t="shared" si="116"/>
        <v>Paper</v>
      </c>
      <c r="AH740" t="str">
        <f t="shared" si="117"/>
        <v>Prime Paper 307</v>
      </c>
      <c r="AI740" t="str">
        <f t="shared" si="118"/>
        <v>First Class</v>
      </c>
      <c r="AJ740" s="3" t="str">
        <f t="shared" si="119"/>
        <v>Invalid</v>
      </c>
      <c r="AK740" t="str">
        <f t="shared" si="120"/>
        <v>invalid date</v>
      </c>
    </row>
    <row r="741" spans="1:37">
      <c r="A741" t="s">
        <v>3432</v>
      </c>
      <c r="B741" t="s">
        <v>3433</v>
      </c>
      <c r="C741" t="s">
        <v>3434</v>
      </c>
      <c r="D741" t="s">
        <v>3435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3436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  <c r="W741" t="s">
        <v>3432</v>
      </c>
      <c r="X741" t="str">
        <v>03-12-24</v>
      </c>
      <c r="Y741" t="str">
        <v>12-10-24</v>
      </c>
      <c r="Z741" t="s">
        <v>3435</v>
      </c>
      <c r="AA741" t="str">
        <v>Neha Gupta</v>
      </c>
      <c r="AB741" t="str">
        <f t="shared" si="111"/>
        <v>Corporate</v>
      </c>
      <c r="AC741" t="str">
        <f t="shared" si="112"/>
        <v>North</v>
      </c>
      <c r="AD741" t="str">
        <f t="shared" si="113"/>
        <v>Rajasthan</v>
      </c>
      <c r="AE741" t="str">
        <f t="shared" si="114"/>
        <v>Jaipur</v>
      </c>
      <c r="AF741" t="str">
        <f t="shared" si="115"/>
        <v>Technology</v>
      </c>
      <c r="AG741" t="str">
        <f t="shared" si="116"/>
        <v>Phones</v>
      </c>
      <c r="AH741" t="str">
        <f t="shared" si="117"/>
        <v>Basic Phones 859</v>
      </c>
      <c r="AI741" t="str">
        <f t="shared" si="118"/>
        <v>Standard Class</v>
      </c>
      <c r="AJ741" s="3" t="str">
        <f t="shared" si="119"/>
        <v>anomaly</v>
      </c>
      <c r="AK741">
        <f t="shared" si="120"/>
        <v>-52</v>
      </c>
    </row>
    <row r="742" spans="1:37">
      <c r="A742" t="s">
        <v>3437</v>
      </c>
      <c r="B742" t="s">
        <v>3438</v>
      </c>
      <c r="C742" t="s">
        <v>2168</v>
      </c>
      <c r="D742" t="s">
        <v>777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3439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  <c r="W742" t="s">
        <v>3437</v>
      </c>
      <c r="X742" t="str">
        <v>02-04-24</v>
      </c>
      <c r="Y742" t="str">
        <v>04-02-24</v>
      </c>
      <c r="Z742" t="s">
        <v>777</v>
      </c>
      <c r="AA742" t="str">
        <v>Sneha Kapoor</v>
      </c>
      <c r="AB742" t="str">
        <f t="shared" si="111"/>
        <v>Small Business</v>
      </c>
      <c r="AC742" t="str">
        <f t="shared" si="112"/>
        <v>West</v>
      </c>
      <c r="AD742" t="str">
        <f t="shared" si="113"/>
        <v>Maharashtra</v>
      </c>
      <c r="AE742" t="str">
        <f t="shared" si="114"/>
        <v>Mumbai</v>
      </c>
      <c r="AF742" t="str">
        <f t="shared" si="115"/>
        <v>Furniture</v>
      </c>
      <c r="AG742" t="str">
        <f t="shared" si="116"/>
        <v>Chairs</v>
      </c>
      <c r="AH742" t="str">
        <f t="shared" si="117"/>
        <v>Eco Chairs 883</v>
      </c>
      <c r="AI742" t="str">
        <f t="shared" si="118"/>
        <v>First Class</v>
      </c>
      <c r="AJ742" s="3" t="str">
        <f t="shared" si="119"/>
        <v>anomaly</v>
      </c>
      <c r="AK742">
        <f t="shared" si="120"/>
        <v>-58</v>
      </c>
    </row>
    <row r="743" spans="1:37">
      <c r="A743" t="s">
        <v>3440</v>
      </c>
      <c r="B743" t="s">
        <v>3441</v>
      </c>
      <c r="C743" t="s">
        <v>3442</v>
      </c>
      <c r="D743" t="s">
        <v>3443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3444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  <c r="W743" t="s">
        <v>3440</v>
      </c>
      <c r="X743" t="str">
        <v>invalid date</v>
      </c>
      <c r="Y743" t="str">
        <v>25-04-25</v>
      </c>
      <c r="Z743" t="s">
        <v>3443</v>
      </c>
      <c r="AA743" t="str">
        <v>Isha Nair</v>
      </c>
      <c r="AB743" t="str">
        <f t="shared" si="111"/>
        <v>Home Office</v>
      </c>
      <c r="AC743" t="str">
        <f t="shared" si="112"/>
        <v>South</v>
      </c>
      <c r="AD743" t="str">
        <f t="shared" si="113"/>
        <v>Tamil Nadu</v>
      </c>
      <c r="AE743" t="str">
        <f t="shared" si="114"/>
        <v>Chennai</v>
      </c>
      <c r="AF743" t="str">
        <f t="shared" si="115"/>
        <v>Furniture</v>
      </c>
      <c r="AG743" t="str">
        <f t="shared" si="116"/>
        <v>Chairs</v>
      </c>
      <c r="AH743" t="str">
        <f t="shared" si="117"/>
        <v>Max Chairs 706</v>
      </c>
      <c r="AI743" t="str">
        <f t="shared" si="118"/>
        <v>Second Class</v>
      </c>
      <c r="AJ743" s="3" t="str">
        <f t="shared" si="119"/>
        <v>Invalid</v>
      </c>
      <c r="AK743" t="str">
        <f t="shared" si="120"/>
        <v>invalid date</v>
      </c>
    </row>
    <row r="744" spans="1:37">
      <c r="A744" t="s">
        <v>3445</v>
      </c>
      <c r="B744" t="s">
        <v>3446</v>
      </c>
      <c r="C744" t="s">
        <v>3447</v>
      </c>
      <c r="D744" t="s">
        <v>3448</v>
      </c>
      <c r="E744" t="s">
        <v>25</v>
      </c>
      <c r="F744" t="s">
        <v>108</v>
      </c>
      <c r="G744" t="s">
        <v>3449</v>
      </c>
      <c r="H744" t="s">
        <v>43</v>
      </c>
      <c r="I744" t="s">
        <v>44</v>
      </c>
      <c r="J744" t="s">
        <v>30</v>
      </c>
      <c r="K744" t="s">
        <v>31</v>
      </c>
      <c r="L744" t="s">
        <v>3450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  <c r="W744" t="s">
        <v>3445</v>
      </c>
      <c r="X744" t="str">
        <v>invalid date</v>
      </c>
      <c r="Y744" t="str">
        <v>22-10-24</v>
      </c>
      <c r="Z744" t="s">
        <v>3448</v>
      </c>
      <c r="AA744" t="str">
        <v>Karan Malhotra</v>
      </c>
      <c r="AB744" t="str">
        <f t="shared" si="111"/>
        <v>Corporate</v>
      </c>
      <c r="AC744" t="str">
        <f t="shared" si="112"/>
        <v>East</v>
      </c>
      <c r="AD744" t="str">
        <f t="shared" si="113"/>
        <v>Odisha</v>
      </c>
      <c r="AE744" t="str">
        <f t="shared" si="114"/>
        <v>Bhubaneswar</v>
      </c>
      <c r="AF744" t="str">
        <f t="shared" si="115"/>
        <v>Office Supplies</v>
      </c>
      <c r="AG744" t="str">
        <f t="shared" si="116"/>
        <v>Paper</v>
      </c>
      <c r="AH744" t="str">
        <f t="shared" si="117"/>
        <v>Prime Paper 768</v>
      </c>
      <c r="AI744" t="str">
        <f t="shared" si="118"/>
        <v>Standard Class</v>
      </c>
      <c r="AJ744" s="3" t="str">
        <f t="shared" si="119"/>
        <v>Invalid</v>
      </c>
      <c r="AK744" t="str">
        <f t="shared" si="120"/>
        <v>invalid date</v>
      </c>
    </row>
    <row r="745" spans="1:37">
      <c r="A745" t="s">
        <v>3451</v>
      </c>
      <c r="B745" t="s">
        <v>1395</v>
      </c>
      <c r="C745" t="s">
        <v>1938</v>
      </c>
      <c r="D745" t="s">
        <v>3452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3453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  <c r="W745" t="s">
        <v>3451</v>
      </c>
      <c r="X745" t="str">
        <v>02-12-25</v>
      </c>
      <c r="Y745" t="str">
        <v>14-02-25</v>
      </c>
      <c r="Z745" t="s">
        <v>3452</v>
      </c>
      <c r="AA745" t="str">
        <v>Sneha Kapoor</v>
      </c>
      <c r="AB745" t="str">
        <f t="shared" si="111"/>
        <v>Consumer</v>
      </c>
      <c r="AC745" t="str">
        <f t="shared" si="112"/>
        <v>North</v>
      </c>
      <c r="AD745" t="str">
        <f t="shared" si="113"/>
        <v>Uttar Pradesh</v>
      </c>
      <c r="AE745" t="str">
        <f t="shared" si="114"/>
        <v>Noida</v>
      </c>
      <c r="AF745" t="str">
        <f t="shared" si="115"/>
        <v>Office Supplies</v>
      </c>
      <c r="AG745" t="str">
        <f t="shared" si="116"/>
        <v>Art</v>
      </c>
      <c r="AH745" t="str">
        <f t="shared" si="117"/>
        <v>Basic Art 764</v>
      </c>
      <c r="AI745" t="str">
        <f t="shared" si="118"/>
        <v>Standard Class</v>
      </c>
      <c r="AJ745" s="3" t="str">
        <f t="shared" si="119"/>
        <v>anomaly</v>
      </c>
      <c r="AK745">
        <f t="shared" si="120"/>
        <v>-291</v>
      </c>
    </row>
    <row r="746" spans="1:37">
      <c r="A746" t="s">
        <v>3454</v>
      </c>
      <c r="B746" t="s">
        <v>3455</v>
      </c>
      <c r="C746" t="s">
        <v>1468</v>
      </c>
      <c r="D746" t="s">
        <v>3456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3457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  <c r="W746" t="s">
        <v>3454</v>
      </c>
      <c r="X746" t="str">
        <v>17-08-25</v>
      </c>
      <c r="Y746" t="str">
        <v>20-08-25</v>
      </c>
      <c r="Z746" t="s">
        <v>3456</v>
      </c>
      <c r="AA746" t="str">
        <v>Mira Das</v>
      </c>
      <c r="AB746" t="str">
        <f t="shared" si="111"/>
        <v>Home Office</v>
      </c>
      <c r="AC746" t="str">
        <f t="shared" si="112"/>
        <v>North</v>
      </c>
      <c r="AD746" t="str">
        <f t="shared" si="113"/>
        <v>Punjab</v>
      </c>
      <c r="AE746" t="str">
        <f t="shared" si="114"/>
        <v>Ludhiana</v>
      </c>
      <c r="AF746" t="str">
        <f t="shared" si="115"/>
        <v>Office Supplies</v>
      </c>
      <c r="AG746" t="str">
        <f t="shared" si="116"/>
        <v>Binders</v>
      </c>
      <c r="AH746" t="str">
        <f t="shared" si="117"/>
        <v>Prime Binders 181</v>
      </c>
      <c r="AI746" t="str">
        <f t="shared" si="118"/>
        <v>First Class</v>
      </c>
      <c r="AJ746" s="3" t="str">
        <f t="shared" si="119"/>
        <v>anomaly</v>
      </c>
      <c r="AK746">
        <f t="shared" si="120"/>
        <v>3</v>
      </c>
    </row>
    <row r="747" spans="1:37">
      <c r="A747" t="s">
        <v>3458</v>
      </c>
      <c r="B747" t="s">
        <v>3459</v>
      </c>
      <c r="C747" t="s">
        <v>3460</v>
      </c>
      <c r="D747" t="s">
        <v>3461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3462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  <c r="W747" t="s">
        <v>3458</v>
      </c>
      <c r="X747" t="str">
        <v>24-10-24</v>
      </c>
      <c r="Y747" t="str">
        <v>28-10-24</v>
      </c>
      <c r="Z747" t="s">
        <v>3461</v>
      </c>
      <c r="AA747" t="str">
        <v>Mira Das</v>
      </c>
      <c r="AB747" t="str">
        <f t="shared" si="111"/>
        <v>Small Business</v>
      </c>
      <c r="AC747" t="str">
        <f t="shared" si="112"/>
        <v>East</v>
      </c>
      <c r="AD747" t="str">
        <f t="shared" si="113"/>
        <v>Assam</v>
      </c>
      <c r="AE747" t="str">
        <f t="shared" si="114"/>
        <v>Guwahati</v>
      </c>
      <c r="AF747" t="str">
        <f t="shared" si="115"/>
        <v>Technology</v>
      </c>
      <c r="AG747" t="str">
        <f t="shared" si="116"/>
        <v>Copiers</v>
      </c>
      <c r="AH747" t="str">
        <f t="shared" si="117"/>
        <v>Max Copiers 866</v>
      </c>
      <c r="AI747" t="str">
        <f t="shared" si="118"/>
        <v>Standard Class</v>
      </c>
      <c r="AJ747" s="3" t="str">
        <f t="shared" si="119"/>
        <v>anomaly</v>
      </c>
      <c r="AK747">
        <f t="shared" si="120"/>
        <v>4</v>
      </c>
    </row>
    <row r="748" spans="1:37">
      <c r="A748" t="s">
        <v>3463</v>
      </c>
      <c r="B748" t="s">
        <v>1346</v>
      </c>
      <c r="C748" t="s">
        <v>3464</v>
      </c>
      <c r="D748" t="s">
        <v>3051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3465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  <c r="W748" t="s">
        <v>3463</v>
      </c>
      <c r="X748" t="str">
        <v>04-01-25</v>
      </c>
      <c r="Y748" t="str">
        <v>10-01-25</v>
      </c>
      <c r="Z748" t="s">
        <v>3051</v>
      </c>
      <c r="AA748" t="str">
        <v>Aarav Sharma</v>
      </c>
      <c r="AB748" t="str">
        <f t="shared" si="111"/>
        <v>Home Office</v>
      </c>
      <c r="AC748" t="str">
        <f t="shared" si="112"/>
        <v>East</v>
      </c>
      <c r="AD748" t="str">
        <f t="shared" si="113"/>
        <v>West Bengal</v>
      </c>
      <c r="AE748" t="str">
        <f t="shared" si="114"/>
        <v>Kolkata</v>
      </c>
      <c r="AF748" t="str">
        <f t="shared" si="115"/>
        <v>Office Supplies</v>
      </c>
      <c r="AG748" t="str">
        <f t="shared" si="116"/>
        <v>Paper</v>
      </c>
      <c r="AH748" t="str">
        <f t="shared" si="117"/>
        <v>Pro Paper 662</v>
      </c>
      <c r="AI748" t="str">
        <f t="shared" si="118"/>
        <v>Standard Class</v>
      </c>
      <c r="AJ748" s="3" t="str">
        <f t="shared" si="119"/>
        <v>anomaly</v>
      </c>
      <c r="AK748">
        <f t="shared" si="120"/>
        <v>6</v>
      </c>
    </row>
    <row r="749" spans="1:37">
      <c r="A749" t="s">
        <v>3466</v>
      </c>
      <c r="B749" t="s">
        <v>3467</v>
      </c>
      <c r="C749" t="s">
        <v>3468</v>
      </c>
      <c r="D749" t="s">
        <v>3469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3470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  <c r="W749" t="s">
        <v>3466</v>
      </c>
      <c r="X749" t="str">
        <v>01-05-24</v>
      </c>
      <c r="Y749" t="str">
        <v>07-05-24</v>
      </c>
      <c r="Z749" t="s">
        <v>3469</v>
      </c>
      <c r="AA749" t="str">
        <v>Isha Nair</v>
      </c>
      <c r="AB749" t="str">
        <f t="shared" si="111"/>
        <v>Home Office</v>
      </c>
      <c r="AC749" t="str">
        <f t="shared" si="112"/>
        <v>East</v>
      </c>
      <c r="AD749" t="str">
        <f t="shared" si="113"/>
        <v>Odisha</v>
      </c>
      <c r="AE749" t="str">
        <f t="shared" si="114"/>
        <v>Bhubaneswar</v>
      </c>
      <c r="AF749" t="str">
        <f t="shared" si="115"/>
        <v>Office Supplies</v>
      </c>
      <c r="AG749" t="str">
        <f t="shared" si="116"/>
        <v>Paper</v>
      </c>
      <c r="AH749" t="str">
        <f t="shared" si="117"/>
        <v>Classic Paper 388</v>
      </c>
      <c r="AI749" t="str">
        <f t="shared" si="118"/>
        <v>Same Day</v>
      </c>
      <c r="AJ749" s="3" t="str">
        <f t="shared" si="119"/>
        <v>anomaly</v>
      </c>
      <c r="AK749">
        <f t="shared" si="120"/>
        <v>6</v>
      </c>
    </row>
    <row r="750" spans="1:37">
      <c r="A750" t="s">
        <v>3471</v>
      </c>
      <c r="B750" t="s">
        <v>3472</v>
      </c>
      <c r="C750" t="s">
        <v>3473</v>
      </c>
      <c r="D750" t="s">
        <v>3474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3475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  <c r="W750" t="s">
        <v>3471</v>
      </c>
      <c r="X750" t="str">
        <v>30-05-24</v>
      </c>
      <c r="Y750" t="str">
        <v>invalid date</v>
      </c>
      <c r="Z750" t="s">
        <v>3474</v>
      </c>
      <c r="AA750" t="str">
        <v>Diya Patel</v>
      </c>
      <c r="AB750" t="str">
        <f t="shared" si="111"/>
        <v>Home Office</v>
      </c>
      <c r="AC750" t="str">
        <f t="shared" si="112"/>
        <v>North</v>
      </c>
      <c r="AD750" t="str">
        <f t="shared" si="113"/>
        <v>Haryana</v>
      </c>
      <c r="AE750" t="str">
        <f t="shared" si="114"/>
        <v>Gurugram</v>
      </c>
      <c r="AF750" t="str">
        <f t="shared" si="115"/>
        <v>Technology</v>
      </c>
      <c r="AG750" t="str">
        <f t="shared" si="116"/>
        <v>Phones</v>
      </c>
      <c r="AH750" t="str">
        <f t="shared" si="117"/>
        <v>Pro Phones 765</v>
      </c>
      <c r="AI750" t="str">
        <f t="shared" si="118"/>
        <v>Second Class</v>
      </c>
      <c r="AJ750" s="3" t="str">
        <f t="shared" si="119"/>
        <v>Invalid</v>
      </c>
      <c r="AK750" t="str">
        <f t="shared" si="120"/>
        <v>invalid date</v>
      </c>
    </row>
    <row r="751" spans="1:37">
      <c r="A751" t="s">
        <v>3476</v>
      </c>
      <c r="B751" t="s">
        <v>3477</v>
      </c>
      <c r="C751" t="s">
        <v>3478</v>
      </c>
      <c r="D751" t="s">
        <v>3479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3480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  <c r="W751" t="s">
        <v>3476</v>
      </c>
      <c r="X751" t="str">
        <v>21-03-24</v>
      </c>
      <c r="Y751" t="str">
        <v>25-03-24</v>
      </c>
      <c r="Z751" t="s">
        <v>3479</v>
      </c>
      <c r="AA751" t="str">
        <v>Aditi Sen</v>
      </c>
      <c r="AB751" t="str">
        <f t="shared" si="111"/>
        <v>Home Office</v>
      </c>
      <c r="AC751" t="str">
        <f t="shared" si="112"/>
        <v>East</v>
      </c>
      <c r="AD751" t="str">
        <f t="shared" si="113"/>
        <v>Assam</v>
      </c>
      <c r="AE751" t="str">
        <f t="shared" si="114"/>
        <v>Guwahati</v>
      </c>
      <c r="AF751" t="str">
        <f t="shared" si="115"/>
        <v>Technology</v>
      </c>
      <c r="AG751" t="str">
        <f t="shared" si="116"/>
        <v>Machines</v>
      </c>
      <c r="AH751" t="str">
        <f t="shared" si="117"/>
        <v>Classic Machines 543</v>
      </c>
      <c r="AI751" t="str">
        <f t="shared" si="118"/>
        <v>Standard Class</v>
      </c>
      <c r="AJ751" s="3" t="str">
        <f t="shared" si="119"/>
        <v>anomaly</v>
      </c>
      <c r="AK751">
        <f t="shared" si="120"/>
        <v>4</v>
      </c>
    </row>
    <row r="752" spans="1:37">
      <c r="A752" t="s">
        <v>3481</v>
      </c>
      <c r="B752" t="s">
        <v>3482</v>
      </c>
      <c r="C752" t="s">
        <v>375</v>
      </c>
      <c r="D752" t="s">
        <v>3483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3484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  <c r="W752" t="s">
        <v>3481</v>
      </c>
      <c r="X752" t="str">
        <v>06-02-25</v>
      </c>
      <c r="Y752" t="str">
        <v>02-06-25</v>
      </c>
      <c r="Z752" t="s">
        <v>3483</v>
      </c>
      <c r="AA752" t="str">
        <v>Aarav Sharma</v>
      </c>
      <c r="AB752" t="str">
        <f t="shared" si="111"/>
        <v>Home Office</v>
      </c>
      <c r="AC752" t="str">
        <f t="shared" si="112"/>
        <v>South</v>
      </c>
      <c r="AD752" t="str">
        <f t="shared" si="113"/>
        <v>Telangana</v>
      </c>
      <c r="AE752" t="str">
        <f t="shared" si="114"/>
        <v>Hyderabad</v>
      </c>
      <c r="AF752" t="str">
        <f t="shared" si="115"/>
        <v>Technology</v>
      </c>
      <c r="AG752" t="str">
        <f t="shared" si="116"/>
        <v>Accessories</v>
      </c>
      <c r="AH752" t="str">
        <f t="shared" si="117"/>
        <v>Max Accessories 291</v>
      </c>
      <c r="AI752" t="str">
        <f t="shared" si="118"/>
        <v>First Class</v>
      </c>
      <c r="AJ752" s="3" t="str">
        <f t="shared" si="119"/>
        <v xml:space="preserve">  </v>
      </c>
      <c r="AK752">
        <f t="shared" si="120"/>
        <v>116</v>
      </c>
    </row>
    <row r="753" spans="1:37">
      <c r="A753" t="s">
        <v>3485</v>
      </c>
      <c r="B753" t="s">
        <v>719</v>
      </c>
      <c r="C753" t="s">
        <v>3486</v>
      </c>
      <c r="D753" t="s">
        <v>3487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3488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  <c r="W753" t="s">
        <v>3485</v>
      </c>
      <c r="X753" t="str">
        <v>18-07-25</v>
      </c>
      <c r="Y753" t="str">
        <v>19-07-25</v>
      </c>
      <c r="Z753" t="s">
        <v>3487</v>
      </c>
      <c r="AA753" t="str">
        <v>Priya Menon</v>
      </c>
      <c r="AB753" t="str">
        <f t="shared" si="111"/>
        <v>Home Office</v>
      </c>
      <c r="AC753" s="5" t="s">
        <v>4116</v>
      </c>
      <c r="AD753" t="str">
        <f t="shared" si="113"/>
        <v>Uttar Pradesh</v>
      </c>
      <c r="AE753" t="str">
        <f t="shared" si="114"/>
        <v>Noida</v>
      </c>
      <c r="AF753" t="str">
        <f t="shared" si="115"/>
        <v>Technology</v>
      </c>
      <c r="AG753" t="str">
        <f t="shared" si="116"/>
        <v>Machines</v>
      </c>
      <c r="AH753" t="str">
        <f t="shared" si="117"/>
        <v>Eco Machines 414</v>
      </c>
      <c r="AI753" s="5" t="s">
        <v>4116</v>
      </c>
      <c r="AJ753" s="3" t="str">
        <f t="shared" si="119"/>
        <v>anomaly</v>
      </c>
      <c r="AK753">
        <f t="shared" si="120"/>
        <v>1</v>
      </c>
    </row>
    <row r="754" spans="1:37">
      <c r="A754" t="s">
        <v>3489</v>
      </c>
      <c r="B754" t="s">
        <v>2215</v>
      </c>
      <c r="C754" t="s">
        <v>3160</v>
      </c>
      <c r="D754" t="s">
        <v>3490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3491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  <c r="W754" t="s">
        <v>3489</v>
      </c>
      <c r="X754" t="str">
        <v>24-03-24</v>
      </c>
      <c r="Y754" t="str">
        <v>27-03-24</v>
      </c>
      <c r="Z754" t="s">
        <v>3490</v>
      </c>
      <c r="AA754" t="str">
        <v>Aditi Sen</v>
      </c>
      <c r="AB754" t="str">
        <f t="shared" si="111"/>
        <v>Corporate</v>
      </c>
      <c r="AC754" t="str">
        <f t="shared" si="112"/>
        <v>West</v>
      </c>
      <c r="AD754" t="str">
        <f t="shared" si="113"/>
        <v>Gujarat</v>
      </c>
      <c r="AE754" t="str">
        <f t="shared" si="114"/>
        <v>Ahmedabad</v>
      </c>
      <c r="AF754" t="str">
        <f t="shared" si="115"/>
        <v>Office Supplies</v>
      </c>
      <c r="AG754" t="str">
        <f t="shared" si="116"/>
        <v>Storage</v>
      </c>
      <c r="AH754" t="str">
        <f t="shared" si="117"/>
        <v>Basic Storage 273</v>
      </c>
      <c r="AI754" t="str">
        <f t="shared" si="118"/>
        <v>First Class</v>
      </c>
      <c r="AJ754" s="3" t="str">
        <f t="shared" si="119"/>
        <v>anomaly</v>
      </c>
      <c r="AK754">
        <f t="shared" si="120"/>
        <v>3</v>
      </c>
    </row>
    <row r="755" spans="1:37">
      <c r="A755" t="s">
        <v>3492</v>
      </c>
      <c r="B755" t="s">
        <v>2436</v>
      </c>
      <c r="C755" t="s">
        <v>2796</v>
      </c>
      <c r="D755" t="s">
        <v>3493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3494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  <c r="W755" t="s">
        <v>3492</v>
      </c>
      <c r="X755" t="str">
        <v>11-08-24</v>
      </c>
      <c r="Y755" t="str">
        <v>10-08-24</v>
      </c>
      <c r="Z755" t="s">
        <v>3493</v>
      </c>
      <c r="AA755" t="str">
        <v>Aditi Sen</v>
      </c>
      <c r="AB755" t="str">
        <f t="shared" si="111"/>
        <v>Corporate</v>
      </c>
      <c r="AC755" t="str">
        <f t="shared" si="112"/>
        <v>North</v>
      </c>
      <c r="AD755" t="str">
        <f t="shared" si="113"/>
        <v>Delhi</v>
      </c>
      <c r="AE755" t="str">
        <f t="shared" si="114"/>
        <v>New Delhi</v>
      </c>
      <c r="AF755" t="str">
        <f t="shared" si="115"/>
        <v>Furniture</v>
      </c>
      <c r="AG755" t="str">
        <f t="shared" si="116"/>
        <v>Furnishings</v>
      </c>
      <c r="AH755" t="str">
        <f t="shared" si="117"/>
        <v>Elite Furnishings 588</v>
      </c>
      <c r="AI755" t="str">
        <f t="shared" si="118"/>
        <v>Second Class</v>
      </c>
      <c r="AJ755" s="3" t="str">
        <f t="shared" si="119"/>
        <v xml:space="preserve">  </v>
      </c>
      <c r="AK755">
        <f t="shared" si="120"/>
        <v>-1</v>
      </c>
    </row>
    <row r="756" spans="1:37">
      <c r="A756" t="s">
        <v>3495</v>
      </c>
      <c r="B756" t="s">
        <v>3496</v>
      </c>
      <c r="C756" t="s">
        <v>3496</v>
      </c>
      <c r="D756" t="s">
        <v>3497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3498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  <c r="W756" t="s">
        <v>3495</v>
      </c>
      <c r="X756" t="str">
        <v>06-04-25</v>
      </c>
      <c r="Y756" t="str">
        <v>06-04-25</v>
      </c>
      <c r="Z756" t="s">
        <v>3497</v>
      </c>
      <c r="AA756" t="str">
        <v>Neha Gupta</v>
      </c>
      <c r="AB756" t="str">
        <f t="shared" si="111"/>
        <v>Corporate</v>
      </c>
      <c r="AC756" t="str">
        <f t="shared" si="112"/>
        <v>South</v>
      </c>
      <c r="AD756" t="str">
        <f t="shared" si="113"/>
        <v>Kerala</v>
      </c>
      <c r="AE756" t="str">
        <f t="shared" si="114"/>
        <v>Kochi</v>
      </c>
      <c r="AF756" t="str">
        <f t="shared" si="115"/>
        <v>Office Supplies</v>
      </c>
      <c r="AG756" t="str">
        <f t="shared" si="116"/>
        <v>Storage</v>
      </c>
      <c r="AH756" t="str">
        <f t="shared" si="117"/>
        <v>Elite Storage 857</v>
      </c>
      <c r="AI756" t="str">
        <f t="shared" si="118"/>
        <v>Standard Class</v>
      </c>
      <c r="AJ756" s="3" t="str">
        <f t="shared" si="119"/>
        <v xml:space="preserve">  </v>
      </c>
      <c r="AK756">
        <f t="shared" si="120"/>
        <v>0</v>
      </c>
    </row>
    <row r="757" spans="1:37">
      <c r="A757" t="s">
        <v>3499</v>
      </c>
      <c r="B757" t="s">
        <v>1093</v>
      </c>
      <c r="C757" t="s">
        <v>1727</v>
      </c>
      <c r="D757" t="s">
        <v>3500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3501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  <c r="W757" t="s">
        <v>3499</v>
      </c>
      <c r="X757" t="str">
        <v>20-07-25</v>
      </c>
      <c r="Y757" t="str">
        <v>24-07-25</v>
      </c>
      <c r="Z757" t="s">
        <v>3500</v>
      </c>
      <c r="AA757" t="str">
        <v>Priya Menon</v>
      </c>
      <c r="AB757" t="str">
        <f t="shared" si="111"/>
        <v>Home Office</v>
      </c>
      <c r="AC757" t="str">
        <f t="shared" si="112"/>
        <v>West</v>
      </c>
      <c r="AD757" t="str">
        <f t="shared" si="113"/>
        <v>Madhya Pradesh</v>
      </c>
      <c r="AE757" t="str">
        <f t="shared" si="114"/>
        <v>Indore</v>
      </c>
      <c r="AF757" t="str">
        <f t="shared" si="115"/>
        <v>Office Supplies</v>
      </c>
      <c r="AG757" t="str">
        <f t="shared" si="116"/>
        <v>Storage</v>
      </c>
      <c r="AH757" t="str">
        <f t="shared" si="117"/>
        <v>Prime Storage 183</v>
      </c>
      <c r="AI757" t="str">
        <f t="shared" si="118"/>
        <v>Second Class</v>
      </c>
      <c r="AJ757" s="3" t="str">
        <f t="shared" si="119"/>
        <v>anomaly</v>
      </c>
      <c r="AK757">
        <f t="shared" si="120"/>
        <v>4</v>
      </c>
    </row>
    <row r="758" spans="1:37">
      <c r="A758" t="s">
        <v>3502</v>
      </c>
      <c r="B758" t="s">
        <v>3503</v>
      </c>
      <c r="C758" t="s">
        <v>3504</v>
      </c>
      <c r="D758" t="s">
        <v>3505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3506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  <c r="W758" t="s">
        <v>3502</v>
      </c>
      <c r="X758" t="str">
        <v>invalid date</v>
      </c>
      <c r="Y758" t="str">
        <v>11-01-24</v>
      </c>
      <c r="Z758" t="s">
        <v>3505</v>
      </c>
      <c r="AA758" t="str">
        <v>Rohan Mehta</v>
      </c>
      <c r="AB758" t="str">
        <f t="shared" si="111"/>
        <v>Consumer</v>
      </c>
      <c r="AC758" t="str">
        <f t="shared" si="112"/>
        <v>North</v>
      </c>
      <c r="AD758" t="str">
        <f t="shared" si="113"/>
        <v>Rajasthan</v>
      </c>
      <c r="AE758" t="str">
        <f t="shared" si="114"/>
        <v>Jaipur</v>
      </c>
      <c r="AF758" t="str">
        <f t="shared" si="115"/>
        <v>Technology</v>
      </c>
      <c r="AG758" t="str">
        <f t="shared" si="116"/>
        <v>Accessories</v>
      </c>
      <c r="AH758" t="str">
        <f t="shared" si="117"/>
        <v>Smart Accessories 362</v>
      </c>
      <c r="AI758" t="str">
        <f t="shared" si="118"/>
        <v>Same Day</v>
      </c>
      <c r="AJ758" s="3" t="str">
        <f t="shared" si="119"/>
        <v>Invalid</v>
      </c>
      <c r="AK758" t="str">
        <f t="shared" si="120"/>
        <v>invalid date</v>
      </c>
    </row>
    <row r="759" spans="1:37">
      <c r="A759" t="s">
        <v>3507</v>
      </c>
      <c r="B759" t="s">
        <v>3508</v>
      </c>
      <c r="C759" t="s">
        <v>3509</v>
      </c>
      <c r="D759" t="s">
        <v>3510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3511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  <c r="W759" t="s">
        <v>3507</v>
      </c>
      <c r="X759" t="str">
        <v>01-08-25</v>
      </c>
      <c r="Y759" t="str">
        <v>03-08-25</v>
      </c>
      <c r="Z759" t="s">
        <v>3510</v>
      </c>
      <c r="AA759" t="str">
        <v>Aditi Sen</v>
      </c>
      <c r="AB759" t="str">
        <f t="shared" si="111"/>
        <v>Small Business</v>
      </c>
      <c r="AC759" t="str">
        <f t="shared" si="112"/>
        <v>South</v>
      </c>
      <c r="AD759" t="str">
        <f t="shared" si="113"/>
        <v>Kerala</v>
      </c>
      <c r="AE759" t="str">
        <f t="shared" si="114"/>
        <v>Kochi</v>
      </c>
      <c r="AF759" t="str">
        <f t="shared" si="115"/>
        <v>Furniture</v>
      </c>
      <c r="AG759" t="str">
        <f t="shared" si="116"/>
        <v>Bookcases</v>
      </c>
      <c r="AH759" t="str">
        <f t="shared" si="117"/>
        <v>Classic Bookcases 310</v>
      </c>
      <c r="AI759" t="str">
        <f t="shared" si="118"/>
        <v>Standard Class</v>
      </c>
      <c r="AJ759" s="3" t="str">
        <f t="shared" si="119"/>
        <v>anomaly</v>
      </c>
      <c r="AK759">
        <f t="shared" si="120"/>
        <v>2</v>
      </c>
    </row>
    <row r="760" spans="1:37">
      <c r="A760" t="s">
        <v>3512</v>
      </c>
      <c r="B760" t="s">
        <v>3513</v>
      </c>
      <c r="C760" t="s">
        <v>2702</v>
      </c>
      <c r="D760" t="s">
        <v>3514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3515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  <c r="W760" t="s">
        <v>3512</v>
      </c>
      <c r="X760" t="str">
        <v>02-05-24</v>
      </c>
      <c r="Y760" t="str">
        <v>10-05-24</v>
      </c>
      <c r="Z760" t="s">
        <v>3514</v>
      </c>
      <c r="AA760" t="str">
        <v>Aarav Sharma</v>
      </c>
      <c r="AB760" t="str">
        <f t="shared" si="111"/>
        <v>Small Business</v>
      </c>
      <c r="AC760" t="str">
        <f t="shared" si="112"/>
        <v>South</v>
      </c>
      <c r="AD760" t="str">
        <f t="shared" si="113"/>
        <v>Karnataka</v>
      </c>
      <c r="AE760" t="str">
        <f t="shared" si="114"/>
        <v>Bengaluru</v>
      </c>
      <c r="AF760" t="str">
        <f t="shared" si="115"/>
        <v>Furniture</v>
      </c>
      <c r="AG760" t="str">
        <f t="shared" si="116"/>
        <v>Chairs</v>
      </c>
      <c r="AH760" t="str">
        <f t="shared" si="117"/>
        <v>Prime Chairs 721</v>
      </c>
      <c r="AI760" t="str">
        <f t="shared" si="118"/>
        <v>Standard Class</v>
      </c>
      <c r="AJ760" s="3" t="str">
        <f t="shared" si="119"/>
        <v>anomaly</v>
      </c>
      <c r="AK760">
        <f t="shared" si="120"/>
        <v>8</v>
      </c>
    </row>
    <row r="761" spans="1:37">
      <c r="A761" t="s">
        <v>3516</v>
      </c>
      <c r="B761" t="s">
        <v>406</v>
      </c>
      <c r="C761" t="s">
        <v>3517</v>
      </c>
      <c r="D761" t="s">
        <v>3518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3519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  <c r="W761" t="s">
        <v>3516</v>
      </c>
      <c r="X761" t="str">
        <v>19-07-24</v>
      </c>
      <c r="Y761" t="str">
        <v>26-07-24</v>
      </c>
      <c r="Z761" t="s">
        <v>3518</v>
      </c>
      <c r="AA761" t="str">
        <v>Arjun Bose</v>
      </c>
      <c r="AB761" t="str">
        <f t="shared" si="111"/>
        <v>Home Office</v>
      </c>
      <c r="AC761" t="str">
        <f t="shared" si="112"/>
        <v>South</v>
      </c>
      <c r="AD761" t="str">
        <f t="shared" si="113"/>
        <v>Karnataka</v>
      </c>
      <c r="AE761" t="str">
        <f t="shared" si="114"/>
        <v>Bengaluru</v>
      </c>
      <c r="AF761" t="str">
        <f t="shared" si="115"/>
        <v>Furniture</v>
      </c>
      <c r="AG761" t="str">
        <f t="shared" si="116"/>
        <v>Tables</v>
      </c>
      <c r="AH761" t="str">
        <f t="shared" si="117"/>
        <v>Prime Tables 797</v>
      </c>
      <c r="AI761" t="str">
        <f t="shared" si="118"/>
        <v>Second Class</v>
      </c>
      <c r="AJ761" s="3" t="str">
        <f t="shared" si="119"/>
        <v>anomaly</v>
      </c>
      <c r="AK761">
        <f t="shared" si="120"/>
        <v>7</v>
      </c>
    </row>
    <row r="762" spans="1:37">
      <c r="A762" t="s">
        <v>3520</v>
      </c>
      <c r="B762" t="s">
        <v>3521</v>
      </c>
      <c r="C762" t="s">
        <v>1193</v>
      </c>
      <c r="D762" t="s">
        <v>3522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3523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  <c r="W762" t="s">
        <v>3520</v>
      </c>
      <c r="X762" t="str">
        <v>28-08-24</v>
      </c>
      <c r="Y762" t="str">
        <v>02-09-24</v>
      </c>
      <c r="Z762" t="s">
        <v>3522</v>
      </c>
      <c r="AA762" t="str">
        <v>Aditi Sen</v>
      </c>
      <c r="AB762" t="str">
        <f t="shared" si="111"/>
        <v>Home Office</v>
      </c>
      <c r="AC762" t="str">
        <f t="shared" si="112"/>
        <v>East</v>
      </c>
      <c r="AD762" t="str">
        <f t="shared" si="113"/>
        <v>Assam</v>
      </c>
      <c r="AE762" t="str">
        <f t="shared" si="114"/>
        <v>Guwahati</v>
      </c>
      <c r="AF762" t="str">
        <f t="shared" si="115"/>
        <v>Office Supplies</v>
      </c>
      <c r="AG762" t="str">
        <f t="shared" si="116"/>
        <v>Art</v>
      </c>
      <c r="AH762" t="str">
        <f t="shared" si="117"/>
        <v>Max Art 926</v>
      </c>
      <c r="AI762" t="str">
        <f t="shared" si="118"/>
        <v>Second Class</v>
      </c>
      <c r="AJ762" s="3" t="str">
        <f t="shared" si="119"/>
        <v xml:space="preserve">  </v>
      </c>
      <c r="AK762">
        <f t="shared" si="120"/>
        <v>5</v>
      </c>
    </row>
    <row r="763" spans="1:37">
      <c r="A763" t="s">
        <v>3524</v>
      </c>
      <c r="B763" t="s">
        <v>455</v>
      </c>
      <c r="C763" t="s">
        <v>3525</v>
      </c>
      <c r="D763" t="s">
        <v>3526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3527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  <c r="W763" t="s">
        <v>3524</v>
      </c>
      <c r="X763" t="str">
        <v>27-08-25</v>
      </c>
      <c r="Y763" t="str">
        <v>invalid date</v>
      </c>
      <c r="Z763" t="s">
        <v>3526</v>
      </c>
      <c r="AA763" t="str">
        <v>Isha Nair</v>
      </c>
      <c r="AB763" t="str">
        <f t="shared" si="111"/>
        <v>Consumer</v>
      </c>
      <c r="AC763" t="str">
        <f t="shared" si="112"/>
        <v>South</v>
      </c>
      <c r="AD763" t="str">
        <f t="shared" si="113"/>
        <v>Karnataka</v>
      </c>
      <c r="AE763" t="str">
        <f t="shared" si="114"/>
        <v>Bengaluru</v>
      </c>
      <c r="AF763" t="str">
        <f t="shared" si="115"/>
        <v>Technology</v>
      </c>
      <c r="AG763" t="str">
        <f t="shared" si="116"/>
        <v>Machines</v>
      </c>
      <c r="AH763" t="str">
        <f t="shared" si="117"/>
        <v>Max Machines 364</v>
      </c>
      <c r="AI763" t="str">
        <f t="shared" si="118"/>
        <v>First Class</v>
      </c>
      <c r="AJ763" s="3" t="str">
        <f t="shared" si="119"/>
        <v>Invalid</v>
      </c>
      <c r="AK763" t="str">
        <f t="shared" si="120"/>
        <v>invalid date</v>
      </c>
    </row>
    <row r="764" spans="1:37">
      <c r="A764" t="s">
        <v>3528</v>
      </c>
      <c r="B764" t="s">
        <v>3529</v>
      </c>
      <c r="C764" t="s">
        <v>3530</v>
      </c>
      <c r="D764" t="s">
        <v>3531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3532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  <c r="W764" t="s">
        <v>3528</v>
      </c>
      <c r="X764" t="str">
        <v>01-01-24</v>
      </c>
      <c r="Y764" t="str">
        <v>05-01-24</v>
      </c>
      <c r="Z764" t="s">
        <v>3531</v>
      </c>
      <c r="AA764" t="str">
        <v>Diya Patel</v>
      </c>
      <c r="AB764" t="str">
        <f t="shared" si="111"/>
        <v>Corporate</v>
      </c>
      <c r="AC764" t="str">
        <f t="shared" si="112"/>
        <v>West</v>
      </c>
      <c r="AD764" t="str">
        <f t="shared" si="113"/>
        <v>Madhya Pradesh</v>
      </c>
      <c r="AE764" t="str">
        <f t="shared" si="114"/>
        <v>Indore</v>
      </c>
      <c r="AF764" t="str">
        <f t="shared" si="115"/>
        <v>Technology</v>
      </c>
      <c r="AG764" t="str">
        <f t="shared" si="116"/>
        <v>Machines</v>
      </c>
      <c r="AH764" t="str">
        <f t="shared" si="117"/>
        <v>Classic Machines 122</v>
      </c>
      <c r="AI764" t="str">
        <f t="shared" si="118"/>
        <v>Second Class</v>
      </c>
      <c r="AJ764" s="3" t="str">
        <f t="shared" si="119"/>
        <v>anomaly</v>
      </c>
      <c r="AK764">
        <f t="shared" si="120"/>
        <v>4</v>
      </c>
    </row>
    <row r="765" spans="1:37">
      <c r="A765" t="s">
        <v>3533</v>
      </c>
      <c r="B765" t="s">
        <v>3534</v>
      </c>
      <c r="C765" t="s">
        <v>3535</v>
      </c>
      <c r="D765" t="s">
        <v>3536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3537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  <c r="W765" t="s">
        <v>3533</v>
      </c>
      <c r="X765" t="str">
        <v>23-08-25</v>
      </c>
      <c r="Y765" t="str">
        <v>25-08-25</v>
      </c>
      <c r="Z765" t="s">
        <v>3536</v>
      </c>
      <c r="AA765" t="str">
        <v>Diya Patel</v>
      </c>
      <c r="AB765" t="str">
        <f t="shared" si="111"/>
        <v>Consumer</v>
      </c>
      <c r="AC765" t="str">
        <f t="shared" si="112"/>
        <v>North</v>
      </c>
      <c r="AD765" t="str">
        <f t="shared" si="113"/>
        <v>Rajasthan</v>
      </c>
      <c r="AE765" t="str">
        <f t="shared" si="114"/>
        <v>Jaipur</v>
      </c>
      <c r="AF765" t="str">
        <f t="shared" si="115"/>
        <v>Furniture</v>
      </c>
      <c r="AG765" t="str">
        <f t="shared" si="116"/>
        <v>Furnishings</v>
      </c>
      <c r="AH765" t="str">
        <f t="shared" si="117"/>
        <v>Elite Furnishings 169</v>
      </c>
      <c r="AI765" t="str">
        <f t="shared" si="118"/>
        <v>Same Day</v>
      </c>
      <c r="AJ765" s="3" t="str">
        <f t="shared" si="119"/>
        <v>anomaly</v>
      </c>
      <c r="AK765">
        <f t="shared" si="120"/>
        <v>2</v>
      </c>
    </row>
    <row r="766" spans="1:37">
      <c r="A766" t="s">
        <v>3538</v>
      </c>
      <c r="B766" t="s">
        <v>1860</v>
      </c>
      <c r="C766" t="s">
        <v>2911</v>
      </c>
      <c r="D766" t="s">
        <v>1352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3539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  <c r="W766" t="s">
        <v>3538</v>
      </c>
      <c r="X766" t="str">
        <v>13-04-25</v>
      </c>
      <c r="Y766" t="str">
        <v>13-04-25</v>
      </c>
      <c r="Z766" t="s">
        <v>1352</v>
      </c>
      <c r="AA766" t="str">
        <v>Priya Menon</v>
      </c>
      <c r="AB766" t="str">
        <f t="shared" si="111"/>
        <v>Corporate</v>
      </c>
      <c r="AC766" t="str">
        <f t="shared" si="112"/>
        <v>South</v>
      </c>
      <c r="AD766" t="str">
        <f t="shared" si="113"/>
        <v>Kerala</v>
      </c>
      <c r="AE766" t="str">
        <f t="shared" si="114"/>
        <v>Kochi</v>
      </c>
      <c r="AF766" t="str">
        <f t="shared" si="115"/>
        <v>Furniture</v>
      </c>
      <c r="AG766" t="str">
        <f t="shared" si="116"/>
        <v>Bookcases</v>
      </c>
      <c r="AH766" t="str">
        <f t="shared" si="117"/>
        <v>Pro Bookcases 615</v>
      </c>
      <c r="AI766" t="str">
        <f t="shared" si="118"/>
        <v>First Class</v>
      </c>
      <c r="AJ766" s="3" t="str">
        <f t="shared" si="119"/>
        <v xml:space="preserve">  </v>
      </c>
      <c r="AK766">
        <f t="shared" si="120"/>
        <v>0</v>
      </c>
    </row>
    <row r="767" spans="1:37">
      <c r="A767" t="s">
        <v>3540</v>
      </c>
      <c r="B767" t="s">
        <v>3541</v>
      </c>
      <c r="C767" t="s">
        <v>3542</v>
      </c>
      <c r="D767" t="s">
        <v>3543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3544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  <c r="W767" t="s">
        <v>3540</v>
      </c>
      <c r="X767" t="str">
        <v>29-06-25</v>
      </c>
      <c r="Y767" t="str">
        <v>03-07-25</v>
      </c>
      <c r="Z767" t="s">
        <v>3543</v>
      </c>
      <c r="AA767" t="str">
        <v>Vikram Iyer</v>
      </c>
      <c r="AB767" t="str">
        <f t="shared" si="111"/>
        <v>Corporate</v>
      </c>
      <c r="AC767" t="str">
        <f t="shared" si="112"/>
        <v>East</v>
      </c>
      <c r="AD767" t="str">
        <f t="shared" si="113"/>
        <v>Jharkhand</v>
      </c>
      <c r="AE767" t="str">
        <f t="shared" si="114"/>
        <v>Ranchi</v>
      </c>
      <c r="AF767" t="str">
        <f t="shared" si="115"/>
        <v>Office Supplies</v>
      </c>
      <c r="AG767" t="str">
        <f t="shared" si="116"/>
        <v>Labels</v>
      </c>
      <c r="AH767" t="str">
        <f t="shared" si="117"/>
        <v>Max Labels 136</v>
      </c>
      <c r="AI767" t="str">
        <f t="shared" si="118"/>
        <v>First Class</v>
      </c>
      <c r="AJ767" s="3" t="str">
        <f t="shared" si="119"/>
        <v xml:space="preserve">  </v>
      </c>
      <c r="AK767">
        <f t="shared" si="120"/>
        <v>4</v>
      </c>
    </row>
    <row r="768" spans="1:37">
      <c r="A768" t="s">
        <v>3545</v>
      </c>
      <c r="B768" t="s">
        <v>3546</v>
      </c>
      <c r="C768" t="s">
        <v>2007</v>
      </c>
      <c r="D768" t="s">
        <v>3547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3548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  <c r="W768" t="s">
        <v>3545</v>
      </c>
      <c r="X768" t="str">
        <v>17-09-24</v>
      </c>
      <c r="Y768" t="str">
        <v>24-09-24</v>
      </c>
      <c r="Z768" t="s">
        <v>3547</v>
      </c>
      <c r="AA768" t="str">
        <v>Mira Das</v>
      </c>
      <c r="AB768" t="str">
        <f t="shared" si="111"/>
        <v>Corporate</v>
      </c>
      <c r="AC768" t="str">
        <f t="shared" si="112"/>
        <v>West</v>
      </c>
      <c r="AD768" t="str">
        <f t="shared" si="113"/>
        <v>Gujarat</v>
      </c>
      <c r="AE768" t="str">
        <f t="shared" si="114"/>
        <v>Ahmedabad</v>
      </c>
      <c r="AF768" t="str">
        <f t="shared" si="115"/>
        <v>Office Supplies</v>
      </c>
      <c r="AG768" t="str">
        <f t="shared" si="116"/>
        <v>Art</v>
      </c>
      <c r="AH768" t="str">
        <f t="shared" si="117"/>
        <v>Prime Art 380</v>
      </c>
      <c r="AI768" t="str">
        <f t="shared" si="118"/>
        <v>Second Class</v>
      </c>
      <c r="AJ768" s="3" t="str">
        <f t="shared" si="119"/>
        <v>anomaly</v>
      </c>
      <c r="AK768">
        <f t="shared" si="120"/>
        <v>7</v>
      </c>
    </row>
    <row r="769" spans="1:37">
      <c r="A769" t="s">
        <v>3549</v>
      </c>
      <c r="B769" t="s">
        <v>3550</v>
      </c>
      <c r="C769" t="s">
        <v>2706</v>
      </c>
      <c r="D769" t="s">
        <v>3551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917</v>
      </c>
      <c r="K769" t="s">
        <v>198</v>
      </c>
      <c r="L769" t="s">
        <v>3552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  <c r="W769" t="s">
        <v>3549</v>
      </c>
      <c r="X769" t="str">
        <v>03-05-24</v>
      </c>
      <c r="Y769" t="str">
        <v>05-06-24</v>
      </c>
      <c r="Z769" t="s">
        <v>3551</v>
      </c>
      <c r="AA769" t="str">
        <v>Ananya Rao</v>
      </c>
      <c r="AB769" t="str">
        <f t="shared" si="111"/>
        <v>Home Office</v>
      </c>
      <c r="AC769" t="str">
        <f t="shared" si="112"/>
        <v>North</v>
      </c>
      <c r="AD769" t="str">
        <f t="shared" si="113"/>
        <v>Uttar Pradesh</v>
      </c>
      <c r="AE769" t="str">
        <f t="shared" si="114"/>
        <v>Noida</v>
      </c>
      <c r="AF769" t="str">
        <f t="shared" si="115"/>
        <v>Office Supplies</v>
      </c>
      <c r="AG769" t="str">
        <f t="shared" si="116"/>
        <v>Binders</v>
      </c>
      <c r="AH769" t="str">
        <f t="shared" si="117"/>
        <v>Classic Binders 234</v>
      </c>
      <c r="AI769" t="str">
        <f t="shared" si="118"/>
        <v>Standard Class</v>
      </c>
      <c r="AJ769" s="3" t="str">
        <f t="shared" si="119"/>
        <v>anomaly</v>
      </c>
      <c r="AK769">
        <f t="shared" si="120"/>
        <v>33</v>
      </c>
    </row>
    <row r="770" spans="1:37">
      <c r="A770" t="s">
        <v>3553</v>
      </c>
      <c r="B770" t="s">
        <v>1810</v>
      </c>
      <c r="C770" t="s">
        <v>3554</v>
      </c>
      <c r="D770" t="s">
        <v>3555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3556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  <c r="W770" t="s">
        <v>3553</v>
      </c>
      <c r="X770" t="str">
        <v>02-04-25</v>
      </c>
      <c r="Y770" t="str">
        <v>04-04-25</v>
      </c>
      <c r="Z770" t="s">
        <v>3555</v>
      </c>
      <c r="AA770" t="str">
        <v>Sneha Kapoor</v>
      </c>
      <c r="AB770" t="str">
        <f t="shared" si="111"/>
        <v>Home Office</v>
      </c>
      <c r="AC770" t="str">
        <f t="shared" si="112"/>
        <v>East</v>
      </c>
      <c r="AD770" t="str">
        <f t="shared" si="113"/>
        <v>Jharkhand</v>
      </c>
      <c r="AE770" t="str">
        <f t="shared" si="114"/>
        <v>Ranchi</v>
      </c>
      <c r="AF770" t="str">
        <f t="shared" si="115"/>
        <v>Office Supplies</v>
      </c>
      <c r="AG770" t="str">
        <f t="shared" si="116"/>
        <v>Paper</v>
      </c>
      <c r="AH770" t="str">
        <f t="shared" si="117"/>
        <v>Classic Paper 280</v>
      </c>
      <c r="AI770" t="str">
        <f t="shared" si="118"/>
        <v>Same Day</v>
      </c>
      <c r="AJ770" s="3" t="str">
        <f t="shared" si="119"/>
        <v>anomaly</v>
      </c>
      <c r="AK770">
        <f t="shared" si="120"/>
        <v>2</v>
      </c>
    </row>
    <row r="771" spans="1:37">
      <c r="A771" t="s">
        <v>3557</v>
      </c>
      <c r="B771" t="s">
        <v>3558</v>
      </c>
      <c r="C771" t="s">
        <v>2016</v>
      </c>
      <c r="D771" t="s">
        <v>3559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3560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  <c r="W771" t="s">
        <v>3557</v>
      </c>
      <c r="X771" t="str">
        <v>05-11-24</v>
      </c>
      <c r="Y771" t="str">
        <v>13-05-24</v>
      </c>
      <c r="Z771" t="s">
        <v>3559</v>
      </c>
      <c r="AA771" t="str">
        <v>Priya Menon</v>
      </c>
      <c r="AB771" t="str">
        <f t="shared" ref="AB771:AB834" si="121">TRIM(PROPER(F:F))</f>
        <v>Home Office</v>
      </c>
      <c r="AC771" t="str">
        <f t="shared" ref="AC771:AC834" si="122">TRIM(PROPER(G:G))</f>
        <v>West</v>
      </c>
      <c r="AD771" t="str">
        <f t="shared" ref="AD771:AD834" si="123">TRIM(PROPER(H:H))</f>
        <v>Goa</v>
      </c>
      <c r="AE771" t="str">
        <f t="shared" ref="AE771:AE834" si="124">TRIM(PROPER(I:I))</f>
        <v>Panaji</v>
      </c>
      <c r="AF771" t="str">
        <f t="shared" ref="AF771:AF834" si="125">TRIM(PROPER(J:J))</f>
        <v>Furniture</v>
      </c>
      <c r="AG771" t="str">
        <f t="shared" ref="AG771:AG834" si="126">TRIM(PROPER(K:K))</f>
        <v>Bookcases</v>
      </c>
      <c r="AH771" t="str">
        <f t="shared" ref="AH771:AH834" si="127">TRIM(PROPER(L:L))</f>
        <v>Classic Bookcases 922</v>
      </c>
      <c r="AI771" t="str">
        <f t="shared" ref="AI771:AI834" si="128">TRIM(PROPER(M:M))</f>
        <v>Same Day</v>
      </c>
      <c r="AJ771" s="3" t="str">
        <f t="shared" ref="AJ771:AJ834" si="129">IF(OR(X:X="Invalid Date",Y:Y="Invalid Date"),"Invalid",(IF(X:X&lt;Y:Y,"anomaly", "  ")))</f>
        <v>anomaly</v>
      </c>
      <c r="AK771">
        <f t="shared" ref="AK771:AK834" si="130">IFERROR(Y771-X771, "invalid date")</f>
        <v>-176</v>
      </c>
    </row>
    <row r="772" spans="1:37">
      <c r="A772" t="s">
        <v>3561</v>
      </c>
      <c r="B772" t="s">
        <v>2305</v>
      </c>
      <c r="C772" t="s">
        <v>2760</v>
      </c>
      <c r="D772" t="s">
        <v>3562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3563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  <c r="W772" t="s">
        <v>3561</v>
      </c>
      <c r="X772" t="str">
        <v>invalid date</v>
      </c>
      <c r="Y772" t="str">
        <v>17-02-24</v>
      </c>
      <c r="Z772" t="s">
        <v>3562</v>
      </c>
      <c r="AA772" t="str">
        <v>Neha Gupta</v>
      </c>
      <c r="AB772" t="str">
        <f t="shared" si="121"/>
        <v>Consumer</v>
      </c>
      <c r="AC772" t="str">
        <f t="shared" si="122"/>
        <v>North</v>
      </c>
      <c r="AD772" t="str">
        <f t="shared" si="123"/>
        <v>Uttar Pradesh</v>
      </c>
      <c r="AE772" t="str">
        <f t="shared" si="124"/>
        <v>Noida</v>
      </c>
      <c r="AF772" t="str">
        <f t="shared" si="125"/>
        <v>Technology</v>
      </c>
      <c r="AG772" t="str">
        <f t="shared" si="126"/>
        <v>Copiers</v>
      </c>
      <c r="AH772" t="str">
        <f t="shared" si="127"/>
        <v>Eco Copiers 396</v>
      </c>
      <c r="AI772" t="str">
        <f t="shared" si="128"/>
        <v>First Class</v>
      </c>
      <c r="AJ772" s="3" t="str">
        <f t="shared" si="129"/>
        <v>Invalid</v>
      </c>
      <c r="AK772" t="str">
        <f t="shared" si="130"/>
        <v>invalid date</v>
      </c>
    </row>
    <row r="773" spans="1:37">
      <c r="A773" t="s">
        <v>3564</v>
      </c>
      <c r="B773" t="s">
        <v>3565</v>
      </c>
      <c r="C773" t="s">
        <v>2621</v>
      </c>
      <c r="D773" t="s">
        <v>690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3566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  <c r="W773" t="s">
        <v>3564</v>
      </c>
      <c r="X773" t="str">
        <v>12-07-24</v>
      </c>
      <c r="Y773" t="str">
        <v>14-07-24</v>
      </c>
      <c r="Z773" t="s">
        <v>690</v>
      </c>
      <c r="AA773" t="str">
        <v>Ananya Rao</v>
      </c>
      <c r="AB773" t="str">
        <f t="shared" si="121"/>
        <v>Consumer</v>
      </c>
      <c r="AC773" t="str">
        <f t="shared" si="122"/>
        <v>North</v>
      </c>
      <c r="AD773" t="str">
        <f t="shared" si="123"/>
        <v>Haryana</v>
      </c>
      <c r="AE773" t="str">
        <f t="shared" si="124"/>
        <v>Gurugram</v>
      </c>
      <c r="AF773" t="str">
        <f t="shared" si="125"/>
        <v>Technology</v>
      </c>
      <c r="AG773" t="str">
        <f t="shared" si="126"/>
        <v>Machines</v>
      </c>
      <c r="AH773" t="str">
        <f t="shared" si="127"/>
        <v>Basic Machines 401</v>
      </c>
      <c r="AI773" t="str">
        <f t="shared" si="128"/>
        <v>Second Class</v>
      </c>
      <c r="AJ773" s="3" t="str">
        <f t="shared" si="129"/>
        <v>anomaly</v>
      </c>
      <c r="AK773">
        <f t="shared" si="130"/>
        <v>2</v>
      </c>
    </row>
    <row r="774" spans="1:37">
      <c r="A774" t="s">
        <v>3567</v>
      </c>
      <c r="B774" t="s">
        <v>171</v>
      </c>
      <c r="C774" t="s">
        <v>1569</v>
      </c>
      <c r="D774" t="s">
        <v>3568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3569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  <c r="W774" t="s">
        <v>3567</v>
      </c>
      <c r="X774" t="str">
        <v>invalid date</v>
      </c>
      <c r="Y774" t="str">
        <v>19-07-25</v>
      </c>
      <c r="Z774" t="s">
        <v>3568</v>
      </c>
      <c r="AA774" t="str">
        <v>Diya Patel</v>
      </c>
      <c r="AB774" t="str">
        <f t="shared" si="121"/>
        <v>Consumer</v>
      </c>
      <c r="AC774" t="str">
        <f t="shared" si="122"/>
        <v>South</v>
      </c>
      <c r="AD774" t="str">
        <f t="shared" si="123"/>
        <v>Tamil Nadu</v>
      </c>
      <c r="AE774" t="str">
        <f t="shared" si="124"/>
        <v>Chennai</v>
      </c>
      <c r="AF774" t="str">
        <f t="shared" si="125"/>
        <v>Furniture</v>
      </c>
      <c r="AG774" t="str">
        <f t="shared" si="126"/>
        <v>Chairs</v>
      </c>
      <c r="AH774" t="str">
        <f t="shared" si="127"/>
        <v>Basic Chairs 279</v>
      </c>
      <c r="AI774" t="str">
        <f t="shared" si="128"/>
        <v>Same Day</v>
      </c>
      <c r="AJ774" s="3" t="str">
        <f t="shared" si="129"/>
        <v>Invalid</v>
      </c>
      <c r="AK774" t="str">
        <f t="shared" si="130"/>
        <v>invalid date</v>
      </c>
    </row>
    <row r="775" spans="1:37">
      <c r="A775" t="s">
        <v>3570</v>
      </c>
      <c r="B775" t="s">
        <v>3571</v>
      </c>
      <c r="C775" t="s">
        <v>3572</v>
      </c>
      <c r="D775" t="s">
        <v>3573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3574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  <c r="W775" t="s">
        <v>3570</v>
      </c>
      <c r="X775" t="str">
        <v>21-02-25</v>
      </c>
      <c r="Y775" t="str">
        <v>21-02-25</v>
      </c>
      <c r="Z775" t="s">
        <v>3573</v>
      </c>
      <c r="AA775" t="str">
        <v>Karan Malhotra</v>
      </c>
      <c r="AB775" t="str">
        <f t="shared" si="121"/>
        <v>Home Office</v>
      </c>
      <c r="AC775" t="str">
        <f t="shared" si="122"/>
        <v>West</v>
      </c>
      <c r="AD775" t="str">
        <f t="shared" si="123"/>
        <v>Gujarat</v>
      </c>
      <c r="AE775" t="str">
        <f t="shared" si="124"/>
        <v>Ahmedabad</v>
      </c>
      <c r="AF775" t="str">
        <f t="shared" si="125"/>
        <v>Technology</v>
      </c>
      <c r="AG775" t="str">
        <f t="shared" si="126"/>
        <v>Phones</v>
      </c>
      <c r="AH775" t="str">
        <f t="shared" si="127"/>
        <v>Basic Phones 753</v>
      </c>
      <c r="AI775" s="5" t="s">
        <v>4116</v>
      </c>
      <c r="AJ775" s="3" t="str">
        <f t="shared" si="129"/>
        <v xml:space="preserve">  </v>
      </c>
      <c r="AK775">
        <f t="shared" si="130"/>
        <v>0</v>
      </c>
    </row>
    <row r="776" spans="1:37">
      <c r="A776" t="s">
        <v>3575</v>
      </c>
      <c r="B776" t="s">
        <v>3576</v>
      </c>
      <c r="C776" t="s">
        <v>1797</v>
      </c>
      <c r="D776" t="s">
        <v>3577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3578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  <c r="W776" t="s">
        <v>3575</v>
      </c>
      <c r="X776" t="str">
        <v>07-08-25</v>
      </c>
      <c r="Y776" t="str">
        <v>07-08-25</v>
      </c>
      <c r="Z776" t="s">
        <v>3577</v>
      </c>
      <c r="AA776" t="str">
        <v>Kabir Singh</v>
      </c>
      <c r="AB776" t="str">
        <f t="shared" si="121"/>
        <v>Consumer</v>
      </c>
      <c r="AC776" t="str">
        <f t="shared" si="122"/>
        <v>West</v>
      </c>
      <c r="AD776" t="str">
        <f t="shared" si="123"/>
        <v>Rajasthan</v>
      </c>
      <c r="AE776" t="str">
        <f t="shared" si="124"/>
        <v>Udaipur</v>
      </c>
      <c r="AF776" t="str">
        <f t="shared" si="125"/>
        <v>Technology</v>
      </c>
      <c r="AG776" t="str">
        <f t="shared" si="126"/>
        <v>Machines</v>
      </c>
      <c r="AH776" t="str">
        <f t="shared" si="127"/>
        <v>Smart Machines 789</v>
      </c>
      <c r="AI776" s="5" t="s">
        <v>4116</v>
      </c>
      <c r="AJ776" s="3" t="str">
        <f t="shared" si="129"/>
        <v xml:space="preserve">  </v>
      </c>
      <c r="AK776">
        <f t="shared" si="130"/>
        <v>0</v>
      </c>
    </row>
    <row r="777" spans="1:37">
      <c r="A777" t="s">
        <v>3579</v>
      </c>
      <c r="B777" t="s">
        <v>3580</v>
      </c>
      <c r="C777" t="s">
        <v>3581</v>
      </c>
      <c r="D777" t="s">
        <v>3582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3583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  <c r="W777" t="s">
        <v>3579</v>
      </c>
      <c r="X777" t="str">
        <v>14-04-24</v>
      </c>
      <c r="Y777" t="str">
        <v>22-04-24</v>
      </c>
      <c r="Z777" t="s">
        <v>3582</v>
      </c>
      <c r="AA777" t="str">
        <v>Arjun Bose</v>
      </c>
      <c r="AB777" t="str">
        <f t="shared" si="121"/>
        <v>Consumer</v>
      </c>
      <c r="AC777" t="str">
        <f t="shared" si="122"/>
        <v>North</v>
      </c>
      <c r="AD777" t="str">
        <f t="shared" si="123"/>
        <v>Haryana</v>
      </c>
      <c r="AE777" t="str">
        <f t="shared" si="124"/>
        <v>Gurugram</v>
      </c>
      <c r="AF777" t="str">
        <f t="shared" si="125"/>
        <v>Technology</v>
      </c>
      <c r="AG777" t="str">
        <f t="shared" si="126"/>
        <v>Accessories</v>
      </c>
      <c r="AH777" t="str">
        <f t="shared" si="127"/>
        <v>Elite Accessories 312</v>
      </c>
      <c r="AI777" t="str">
        <f t="shared" si="128"/>
        <v>Standard Class</v>
      </c>
      <c r="AJ777" s="3" t="str">
        <f t="shared" si="129"/>
        <v>anomaly</v>
      </c>
      <c r="AK777">
        <f t="shared" si="130"/>
        <v>8</v>
      </c>
    </row>
    <row r="778" spans="1:37">
      <c r="A778" t="s">
        <v>3584</v>
      </c>
      <c r="B778" t="s">
        <v>3585</v>
      </c>
      <c r="C778" t="s">
        <v>2349</v>
      </c>
      <c r="D778" t="s">
        <v>3586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3587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  <c r="W778" t="s">
        <v>3584</v>
      </c>
      <c r="X778" t="str">
        <v>08-06-25</v>
      </c>
      <c r="Y778" t="str">
        <v>invalid date</v>
      </c>
      <c r="Z778" t="s">
        <v>3586</v>
      </c>
      <c r="AA778" t="str">
        <v>Aditi Sen</v>
      </c>
      <c r="AB778" t="str">
        <f t="shared" si="121"/>
        <v>Small Business</v>
      </c>
      <c r="AC778" t="str">
        <f t="shared" si="122"/>
        <v>North</v>
      </c>
      <c r="AD778" t="str">
        <f t="shared" si="123"/>
        <v>Rajasthan</v>
      </c>
      <c r="AE778" t="str">
        <f t="shared" si="124"/>
        <v>Jaipur</v>
      </c>
      <c r="AF778" t="str">
        <f t="shared" si="125"/>
        <v>Technology</v>
      </c>
      <c r="AG778" t="str">
        <f t="shared" si="126"/>
        <v>Copiers</v>
      </c>
      <c r="AH778" t="str">
        <f t="shared" si="127"/>
        <v>Eco Copiers 528</v>
      </c>
      <c r="AI778" t="str">
        <f t="shared" si="128"/>
        <v>Second Class</v>
      </c>
      <c r="AJ778" s="3" t="str">
        <f t="shared" si="129"/>
        <v>Invalid</v>
      </c>
      <c r="AK778" t="str">
        <f t="shared" si="130"/>
        <v>invalid date</v>
      </c>
    </row>
    <row r="779" spans="1:37">
      <c r="A779" t="s">
        <v>3588</v>
      </c>
      <c r="B779" t="s">
        <v>3589</v>
      </c>
      <c r="C779" t="s">
        <v>2278</v>
      </c>
      <c r="D779" t="s">
        <v>3590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3591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  <c r="W779" t="s">
        <v>3588</v>
      </c>
      <c r="X779" t="str">
        <v>04-02-24</v>
      </c>
      <c r="Y779" t="str">
        <v>06-02-24</v>
      </c>
      <c r="Z779" t="s">
        <v>3590</v>
      </c>
      <c r="AA779" t="str">
        <v>Kabir Singh</v>
      </c>
      <c r="AB779" t="str">
        <f t="shared" si="121"/>
        <v>Small Business</v>
      </c>
      <c r="AC779" t="str">
        <f t="shared" si="122"/>
        <v>West</v>
      </c>
      <c r="AD779" t="str">
        <f t="shared" si="123"/>
        <v>Madhya Pradesh</v>
      </c>
      <c r="AE779" t="str">
        <f t="shared" si="124"/>
        <v>Indore</v>
      </c>
      <c r="AF779" t="str">
        <f t="shared" si="125"/>
        <v>Technology</v>
      </c>
      <c r="AG779" t="str">
        <f t="shared" si="126"/>
        <v>Accessories</v>
      </c>
      <c r="AH779" t="str">
        <f t="shared" si="127"/>
        <v>Elite Accessories 226</v>
      </c>
      <c r="AI779" t="str">
        <f t="shared" si="128"/>
        <v>Second Class</v>
      </c>
      <c r="AJ779" s="3" t="str">
        <f t="shared" si="129"/>
        <v>anomaly</v>
      </c>
      <c r="AK779">
        <f t="shared" si="130"/>
        <v>2</v>
      </c>
    </row>
    <row r="780" spans="1:37">
      <c r="A780" t="s">
        <v>3592</v>
      </c>
      <c r="B780" t="s">
        <v>714</v>
      </c>
      <c r="C780" t="s">
        <v>3593</v>
      </c>
      <c r="D780" t="s">
        <v>3594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3595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  <c r="W780" t="s">
        <v>3592</v>
      </c>
      <c r="X780" t="str">
        <v>invalid date</v>
      </c>
      <c r="Y780" t="str">
        <v>24-07-24</v>
      </c>
      <c r="Z780" t="s">
        <v>3594</v>
      </c>
      <c r="AA780" t="str">
        <v>Karan Malhotra</v>
      </c>
      <c r="AB780" t="str">
        <f t="shared" si="121"/>
        <v>Small Business</v>
      </c>
      <c r="AC780" t="str">
        <f t="shared" si="122"/>
        <v>North</v>
      </c>
      <c r="AD780" t="str">
        <f t="shared" si="123"/>
        <v>Haryana</v>
      </c>
      <c r="AE780" t="str">
        <f t="shared" si="124"/>
        <v>Gurugram</v>
      </c>
      <c r="AF780" t="str">
        <f t="shared" si="125"/>
        <v>Technology</v>
      </c>
      <c r="AG780" t="str">
        <f t="shared" si="126"/>
        <v>Copiers</v>
      </c>
      <c r="AH780" t="str">
        <f t="shared" si="127"/>
        <v>Pro Copiers 298</v>
      </c>
      <c r="AI780" t="str">
        <f t="shared" si="128"/>
        <v>Second Class</v>
      </c>
      <c r="AJ780" s="3" t="str">
        <f t="shared" si="129"/>
        <v>Invalid</v>
      </c>
      <c r="AK780" t="str">
        <f t="shared" si="130"/>
        <v>invalid date</v>
      </c>
    </row>
    <row r="781" spans="1:37">
      <c r="A781" t="s">
        <v>3596</v>
      </c>
      <c r="B781" t="s">
        <v>2203</v>
      </c>
      <c r="C781" t="s">
        <v>3597</v>
      </c>
      <c r="D781" t="s">
        <v>3598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3599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  <c r="W781" t="s">
        <v>3596</v>
      </c>
      <c r="X781" t="str">
        <v>invalid date</v>
      </c>
      <c r="Y781" t="str">
        <v>20-01-24</v>
      </c>
      <c r="Z781" t="s">
        <v>3598</v>
      </c>
      <c r="AA781" t="str">
        <v>Priya Menon</v>
      </c>
      <c r="AB781" t="str">
        <f t="shared" si="121"/>
        <v>Small Business</v>
      </c>
      <c r="AC781" t="str">
        <f t="shared" si="122"/>
        <v>South</v>
      </c>
      <c r="AD781" t="str">
        <f t="shared" si="123"/>
        <v>Andhra Pradesh</v>
      </c>
      <c r="AE781" t="str">
        <f t="shared" si="124"/>
        <v>Vijayawada</v>
      </c>
      <c r="AF781" t="str">
        <f t="shared" si="125"/>
        <v>Furniture</v>
      </c>
      <c r="AG781" t="str">
        <f t="shared" si="126"/>
        <v>Chairs</v>
      </c>
      <c r="AH781" t="str">
        <f t="shared" si="127"/>
        <v>Prime Chairs 331</v>
      </c>
      <c r="AI781" t="str">
        <f t="shared" si="128"/>
        <v>Standard Class</v>
      </c>
      <c r="AJ781" s="3" t="str">
        <f t="shared" si="129"/>
        <v>Invalid</v>
      </c>
      <c r="AK781" t="str">
        <f t="shared" si="130"/>
        <v>invalid date</v>
      </c>
    </row>
    <row r="782" spans="1:37">
      <c r="A782" t="s">
        <v>3600</v>
      </c>
      <c r="B782" t="s">
        <v>3601</v>
      </c>
      <c r="C782" t="s">
        <v>2652</v>
      </c>
      <c r="D782" t="s">
        <v>3602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3603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  <c r="W782" t="s">
        <v>3600</v>
      </c>
      <c r="X782" t="str">
        <v>04-08-24</v>
      </c>
      <c r="Y782" t="str">
        <v>08-10-24</v>
      </c>
      <c r="Z782" t="s">
        <v>3602</v>
      </c>
      <c r="AA782" t="str">
        <v>Diya Patel</v>
      </c>
      <c r="AB782" t="str">
        <f t="shared" si="121"/>
        <v>Small Business</v>
      </c>
      <c r="AC782" t="str">
        <f t="shared" si="122"/>
        <v>West</v>
      </c>
      <c r="AD782" t="str">
        <f t="shared" si="123"/>
        <v>Rajasthan</v>
      </c>
      <c r="AE782" t="str">
        <f t="shared" si="124"/>
        <v>Udaipur</v>
      </c>
      <c r="AF782" t="str">
        <f t="shared" si="125"/>
        <v>Furniture</v>
      </c>
      <c r="AG782" t="str">
        <f t="shared" si="126"/>
        <v>Chairs</v>
      </c>
      <c r="AH782" t="str">
        <f t="shared" si="127"/>
        <v>Classic Chairs 798</v>
      </c>
      <c r="AI782" t="str">
        <f t="shared" si="128"/>
        <v>Same Day</v>
      </c>
      <c r="AJ782" s="3" t="str">
        <f t="shared" si="129"/>
        <v>anomaly</v>
      </c>
      <c r="AK782">
        <f t="shared" si="130"/>
        <v>65</v>
      </c>
    </row>
    <row r="783" spans="1:37">
      <c r="A783" t="s">
        <v>3604</v>
      </c>
      <c r="B783" t="s">
        <v>3605</v>
      </c>
      <c r="C783" t="s">
        <v>2127</v>
      </c>
      <c r="D783" t="s">
        <v>3606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3607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  <c r="W783" t="s">
        <v>3604</v>
      </c>
      <c r="X783" t="str">
        <v>02-02-24</v>
      </c>
      <c r="Y783" t="str">
        <v>10-02-24</v>
      </c>
      <c r="Z783" t="s">
        <v>3606</v>
      </c>
      <c r="AA783" t="str">
        <v>Karan Malhotra</v>
      </c>
      <c r="AB783" t="str">
        <f t="shared" si="121"/>
        <v>Home Office</v>
      </c>
      <c r="AC783" t="str">
        <f t="shared" si="122"/>
        <v>West</v>
      </c>
      <c r="AD783" t="str">
        <f t="shared" si="123"/>
        <v>Rajasthan</v>
      </c>
      <c r="AE783" t="str">
        <f t="shared" si="124"/>
        <v>Udaipur</v>
      </c>
      <c r="AF783" t="str">
        <f t="shared" si="125"/>
        <v>Office Supplies</v>
      </c>
      <c r="AG783" t="str">
        <f t="shared" si="126"/>
        <v>Labels</v>
      </c>
      <c r="AH783" t="str">
        <f t="shared" si="127"/>
        <v>Classic Labels 204</v>
      </c>
      <c r="AI783" t="str">
        <f t="shared" si="128"/>
        <v>First Class</v>
      </c>
      <c r="AJ783" s="3" t="str">
        <f t="shared" si="129"/>
        <v>anomaly</v>
      </c>
      <c r="AK783">
        <f t="shared" si="130"/>
        <v>8</v>
      </c>
    </row>
    <row r="784" spans="1:37">
      <c r="A784" t="s">
        <v>3608</v>
      </c>
      <c r="B784" t="s">
        <v>1433</v>
      </c>
      <c r="C784" t="s">
        <v>3609</v>
      </c>
      <c r="D784" t="s">
        <v>3610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3611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  <c r="W784" t="s">
        <v>3608</v>
      </c>
      <c r="X784" t="str">
        <v>14-03-25</v>
      </c>
      <c r="Y784" t="str">
        <v>invalid date</v>
      </c>
      <c r="Z784" t="s">
        <v>3610</v>
      </c>
      <c r="AA784" t="str">
        <v>Mira Das</v>
      </c>
      <c r="AB784" t="str">
        <f t="shared" si="121"/>
        <v>Corporate</v>
      </c>
      <c r="AC784" t="str">
        <f t="shared" si="122"/>
        <v>East</v>
      </c>
      <c r="AD784" t="str">
        <f t="shared" si="123"/>
        <v>West Bengal</v>
      </c>
      <c r="AE784" t="str">
        <f t="shared" si="124"/>
        <v>Kolkata</v>
      </c>
      <c r="AF784" t="str">
        <f t="shared" si="125"/>
        <v>Technology</v>
      </c>
      <c r="AG784" t="str">
        <f t="shared" si="126"/>
        <v>Copiers</v>
      </c>
      <c r="AH784" t="str">
        <f t="shared" si="127"/>
        <v>Basic Copiers 254</v>
      </c>
      <c r="AI784" t="str">
        <f t="shared" si="128"/>
        <v>Standard Class</v>
      </c>
      <c r="AJ784" s="3" t="str">
        <f t="shared" si="129"/>
        <v>Invalid</v>
      </c>
      <c r="AK784" t="str">
        <f t="shared" si="130"/>
        <v>invalid date</v>
      </c>
    </row>
    <row r="785" spans="1:37">
      <c r="A785" t="s">
        <v>3612</v>
      </c>
      <c r="B785" t="s">
        <v>3613</v>
      </c>
      <c r="C785" t="s">
        <v>3614</v>
      </c>
      <c r="D785" t="s">
        <v>3615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3616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  <c r="W785" t="s">
        <v>3612</v>
      </c>
      <c r="X785" t="str">
        <v>07-06-24</v>
      </c>
      <c r="Y785" t="str">
        <v>07-06-24</v>
      </c>
      <c r="Z785" t="s">
        <v>3615</v>
      </c>
      <c r="AA785" t="str">
        <v>Aarav Sharma</v>
      </c>
      <c r="AB785" t="str">
        <f t="shared" si="121"/>
        <v>Small Business</v>
      </c>
      <c r="AC785" t="str">
        <f t="shared" si="122"/>
        <v>East</v>
      </c>
      <c r="AD785" t="str">
        <f t="shared" si="123"/>
        <v>Bihar</v>
      </c>
      <c r="AE785" t="str">
        <f t="shared" si="124"/>
        <v>Patna</v>
      </c>
      <c r="AF785" t="str">
        <f t="shared" si="125"/>
        <v>Office Supplies</v>
      </c>
      <c r="AG785" t="str">
        <f t="shared" si="126"/>
        <v>Art</v>
      </c>
      <c r="AH785" t="str">
        <f t="shared" si="127"/>
        <v>Basic Art 709</v>
      </c>
      <c r="AI785" t="str">
        <f t="shared" si="128"/>
        <v>Second Class</v>
      </c>
      <c r="AJ785" s="3" t="str">
        <f t="shared" si="129"/>
        <v xml:space="preserve">  </v>
      </c>
      <c r="AK785">
        <f t="shared" si="130"/>
        <v>0</v>
      </c>
    </row>
    <row r="786" spans="1:37">
      <c r="A786" t="s">
        <v>3617</v>
      </c>
      <c r="B786" t="s">
        <v>3618</v>
      </c>
      <c r="C786" t="s">
        <v>2551</v>
      </c>
      <c r="D786" t="s">
        <v>3619</v>
      </c>
      <c r="E786" t="s">
        <v>142</v>
      </c>
      <c r="F786" t="s">
        <v>108</v>
      </c>
      <c r="G786" t="s">
        <v>3620</v>
      </c>
      <c r="H786" t="s">
        <v>154</v>
      </c>
      <c r="I786" t="s">
        <v>155</v>
      </c>
      <c r="J786" t="s">
        <v>86</v>
      </c>
      <c r="K786" t="s">
        <v>94</v>
      </c>
      <c r="L786" t="s">
        <v>3621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  <c r="W786" t="s">
        <v>3617</v>
      </c>
      <c r="X786" t="str">
        <v>10-04-25</v>
      </c>
      <c r="Y786" t="str">
        <v>05-10-25</v>
      </c>
      <c r="Z786" t="s">
        <v>3619</v>
      </c>
      <c r="AA786" t="str">
        <v>Priya Menon</v>
      </c>
      <c r="AB786" t="str">
        <f t="shared" si="121"/>
        <v>Corporate</v>
      </c>
      <c r="AC786" t="str">
        <f t="shared" si="122"/>
        <v>North</v>
      </c>
      <c r="AD786" t="str">
        <f t="shared" si="123"/>
        <v>Punjab</v>
      </c>
      <c r="AE786" t="str">
        <f t="shared" si="124"/>
        <v>Ludhiana</v>
      </c>
      <c r="AF786" t="str">
        <f t="shared" si="125"/>
        <v>Technology</v>
      </c>
      <c r="AG786" t="str">
        <f t="shared" si="126"/>
        <v>Copiers</v>
      </c>
      <c r="AH786" t="str">
        <f t="shared" si="127"/>
        <v>Max Copiers 551</v>
      </c>
      <c r="AI786" t="str">
        <f t="shared" si="128"/>
        <v>First Class</v>
      </c>
      <c r="AJ786" s="3" t="str">
        <f t="shared" si="129"/>
        <v xml:space="preserve">  </v>
      </c>
      <c r="AK786">
        <f t="shared" si="130"/>
        <v>178</v>
      </c>
    </row>
    <row r="787" spans="1:37">
      <c r="A787" t="s">
        <v>3622</v>
      </c>
      <c r="B787" t="s">
        <v>3623</v>
      </c>
      <c r="C787" t="s">
        <v>273</v>
      </c>
      <c r="D787" t="s">
        <v>3624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3625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  <c r="W787" t="s">
        <v>3622</v>
      </c>
      <c r="X787" t="str">
        <v>23-05-24</v>
      </c>
      <c r="Y787" t="str">
        <v>29-05-24</v>
      </c>
      <c r="Z787" t="s">
        <v>3624</v>
      </c>
      <c r="AA787" t="str">
        <v>Diya Patel</v>
      </c>
      <c r="AB787" t="str">
        <f t="shared" si="121"/>
        <v>Small Business</v>
      </c>
      <c r="AC787" t="str">
        <f t="shared" si="122"/>
        <v>North</v>
      </c>
      <c r="AD787" t="str">
        <f t="shared" si="123"/>
        <v>Haryana</v>
      </c>
      <c r="AE787" t="str">
        <f t="shared" si="124"/>
        <v>Gurugram</v>
      </c>
      <c r="AF787" t="str">
        <f t="shared" si="125"/>
        <v>Office Supplies</v>
      </c>
      <c r="AG787" t="str">
        <f t="shared" si="126"/>
        <v>Storage</v>
      </c>
      <c r="AH787" t="str">
        <f t="shared" si="127"/>
        <v>Eco Storage 183</v>
      </c>
      <c r="AI787" t="str">
        <f t="shared" si="128"/>
        <v>Same Day</v>
      </c>
      <c r="AJ787" s="3" t="str">
        <f t="shared" si="129"/>
        <v>anomaly</v>
      </c>
      <c r="AK787">
        <f t="shared" si="130"/>
        <v>6</v>
      </c>
    </row>
    <row r="788" spans="1:37">
      <c r="A788" t="s">
        <v>3626</v>
      </c>
      <c r="B788" t="s">
        <v>1269</v>
      </c>
      <c r="C788" t="s">
        <v>2851</v>
      </c>
      <c r="D788" t="s">
        <v>3627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3628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  <c r="W788" t="s">
        <v>3626</v>
      </c>
      <c r="X788" t="str">
        <v>07-06-25</v>
      </c>
      <c r="Y788" t="str">
        <v>08-07-25</v>
      </c>
      <c r="Z788" t="s">
        <v>3627</v>
      </c>
      <c r="AA788" t="str">
        <v>Ananya Rao</v>
      </c>
      <c r="AB788" t="str">
        <f t="shared" si="121"/>
        <v>Corporate</v>
      </c>
      <c r="AC788" t="str">
        <f t="shared" si="122"/>
        <v>North</v>
      </c>
      <c r="AD788" t="str">
        <f t="shared" si="123"/>
        <v>Rajasthan</v>
      </c>
      <c r="AE788" t="str">
        <f t="shared" si="124"/>
        <v>Jaipur</v>
      </c>
      <c r="AF788" t="str">
        <f t="shared" si="125"/>
        <v>Furniture</v>
      </c>
      <c r="AG788" t="str">
        <f t="shared" si="126"/>
        <v>Furnishings</v>
      </c>
      <c r="AH788" t="str">
        <f t="shared" si="127"/>
        <v>Pro Furnishings 233</v>
      </c>
      <c r="AI788" s="5" t="s">
        <v>4116</v>
      </c>
      <c r="AJ788" s="3" t="str">
        <f t="shared" si="129"/>
        <v>anomaly</v>
      </c>
      <c r="AK788">
        <f t="shared" si="130"/>
        <v>31</v>
      </c>
    </row>
    <row r="789" spans="1:37">
      <c r="A789" t="s">
        <v>3629</v>
      </c>
      <c r="B789" t="s">
        <v>1322</v>
      </c>
      <c r="C789" t="s">
        <v>3630</v>
      </c>
      <c r="D789" t="s">
        <v>3631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3632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  <c r="W789" t="s">
        <v>3629</v>
      </c>
      <c r="X789" t="str">
        <v>12-09-24</v>
      </c>
      <c r="Y789" t="str">
        <v>18-09-24</v>
      </c>
      <c r="Z789" t="s">
        <v>3631</v>
      </c>
      <c r="AA789" t="str">
        <v>Ananya Rao</v>
      </c>
      <c r="AB789" t="str">
        <f t="shared" si="121"/>
        <v>Home Office</v>
      </c>
      <c r="AC789" t="str">
        <f t="shared" si="122"/>
        <v>East</v>
      </c>
      <c r="AD789" t="str">
        <f t="shared" si="123"/>
        <v>Bihar</v>
      </c>
      <c r="AE789" t="str">
        <f t="shared" si="124"/>
        <v>Patna</v>
      </c>
      <c r="AF789" t="str">
        <f t="shared" si="125"/>
        <v>Office Supplies</v>
      </c>
      <c r="AG789" t="str">
        <f t="shared" si="126"/>
        <v>Paper</v>
      </c>
      <c r="AH789" t="str">
        <f t="shared" si="127"/>
        <v>Prime Paper 878</v>
      </c>
      <c r="AI789" t="str">
        <f t="shared" si="128"/>
        <v>Second Class</v>
      </c>
      <c r="AJ789" s="3" t="str">
        <f t="shared" si="129"/>
        <v>anomaly</v>
      </c>
      <c r="AK789">
        <f t="shared" si="130"/>
        <v>6</v>
      </c>
    </row>
    <row r="790" spans="1:37">
      <c r="A790" t="s">
        <v>3633</v>
      </c>
      <c r="B790" t="s">
        <v>1297</v>
      </c>
      <c r="C790" t="s">
        <v>538</v>
      </c>
      <c r="D790" t="s">
        <v>3634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3635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  <c r="W790" t="s">
        <v>3633</v>
      </c>
      <c r="X790" t="str">
        <v>01-08-24</v>
      </c>
      <c r="Y790" t="str">
        <v>02-08-24</v>
      </c>
      <c r="Z790" t="s">
        <v>3634</v>
      </c>
      <c r="AA790" t="str">
        <v>Isha Nair</v>
      </c>
      <c r="AB790" t="str">
        <f t="shared" si="121"/>
        <v>Corporate</v>
      </c>
      <c r="AC790" t="str">
        <f t="shared" si="122"/>
        <v>North</v>
      </c>
      <c r="AD790" t="str">
        <f t="shared" si="123"/>
        <v>Uttar Pradesh</v>
      </c>
      <c r="AE790" t="str">
        <f t="shared" si="124"/>
        <v>Noida</v>
      </c>
      <c r="AF790" t="str">
        <f t="shared" si="125"/>
        <v>Furniture</v>
      </c>
      <c r="AG790" t="str">
        <f t="shared" si="126"/>
        <v>Chairs</v>
      </c>
      <c r="AH790" t="str">
        <f t="shared" si="127"/>
        <v>Smart Chairs 353</v>
      </c>
      <c r="AI790" t="str">
        <f t="shared" si="128"/>
        <v>Standard Class</v>
      </c>
      <c r="AJ790" s="3" t="str">
        <f t="shared" si="129"/>
        <v>anomaly</v>
      </c>
      <c r="AK790">
        <f t="shared" si="130"/>
        <v>1</v>
      </c>
    </row>
    <row r="791" spans="1:37">
      <c r="A791" t="s">
        <v>3636</v>
      </c>
      <c r="B791" t="s">
        <v>3637</v>
      </c>
      <c r="C791" t="s">
        <v>2322</v>
      </c>
      <c r="D791" t="s">
        <v>3638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3639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  <c r="W791" t="s">
        <v>3636</v>
      </c>
      <c r="X791" t="str">
        <v>07-03-25</v>
      </c>
      <c r="Y791" t="str">
        <v>08-03-25</v>
      </c>
      <c r="Z791" t="s">
        <v>3638</v>
      </c>
      <c r="AA791" t="str">
        <v>Priya Menon</v>
      </c>
      <c r="AB791" t="str">
        <f t="shared" si="121"/>
        <v>Home Office</v>
      </c>
      <c r="AC791" s="5" t="s">
        <v>4116</v>
      </c>
      <c r="AD791" t="str">
        <f t="shared" si="123"/>
        <v>Rajasthan</v>
      </c>
      <c r="AE791" t="str">
        <f t="shared" si="124"/>
        <v>Udaipur</v>
      </c>
      <c r="AF791" t="str">
        <f t="shared" si="125"/>
        <v>Technology</v>
      </c>
      <c r="AG791" t="str">
        <f t="shared" si="126"/>
        <v>Copiers</v>
      </c>
      <c r="AH791" t="str">
        <f t="shared" si="127"/>
        <v>Smart Copiers 408</v>
      </c>
      <c r="AI791" t="str">
        <f t="shared" si="128"/>
        <v>Same Day</v>
      </c>
      <c r="AJ791" s="3" t="str">
        <f t="shared" si="129"/>
        <v>anomaly</v>
      </c>
      <c r="AK791">
        <f t="shared" si="130"/>
        <v>1</v>
      </c>
    </row>
    <row r="792" spans="1:37">
      <c r="A792" t="s">
        <v>3640</v>
      </c>
      <c r="B792" t="s">
        <v>3641</v>
      </c>
      <c r="C792" t="s">
        <v>3642</v>
      </c>
      <c r="D792" t="s">
        <v>3643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3644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  <c r="W792" t="s">
        <v>3640</v>
      </c>
      <c r="X792" t="str">
        <v>31-05-24</v>
      </c>
      <c r="Y792" t="str">
        <v>02-06-24</v>
      </c>
      <c r="Z792" t="s">
        <v>3643</v>
      </c>
      <c r="AA792" t="str">
        <v>Rahul Verma</v>
      </c>
      <c r="AB792" t="str">
        <f t="shared" si="121"/>
        <v>Corporate</v>
      </c>
      <c r="AC792" t="str">
        <f t="shared" si="122"/>
        <v>South</v>
      </c>
      <c r="AD792" t="str">
        <f t="shared" si="123"/>
        <v>Andhra Pradesh</v>
      </c>
      <c r="AE792" t="str">
        <f t="shared" si="124"/>
        <v>Vijayawada</v>
      </c>
      <c r="AF792" t="str">
        <f t="shared" si="125"/>
        <v>Office Supplies</v>
      </c>
      <c r="AG792" t="str">
        <f t="shared" si="126"/>
        <v>Art</v>
      </c>
      <c r="AH792" t="str">
        <f t="shared" si="127"/>
        <v>Classic Art 781</v>
      </c>
      <c r="AI792" t="str">
        <f t="shared" si="128"/>
        <v>Standard Class</v>
      </c>
      <c r="AJ792" s="3" t="str">
        <f t="shared" si="129"/>
        <v xml:space="preserve">  </v>
      </c>
      <c r="AK792">
        <f t="shared" si="130"/>
        <v>2</v>
      </c>
    </row>
    <row r="793" spans="1:37">
      <c r="A793" t="s">
        <v>3645</v>
      </c>
      <c r="B793" t="s">
        <v>3011</v>
      </c>
      <c r="C793" t="s">
        <v>3646</v>
      </c>
      <c r="D793" t="s">
        <v>3647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3648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  <c r="W793" t="s">
        <v>3645</v>
      </c>
      <c r="X793" t="str">
        <v>02-10-24</v>
      </c>
      <c r="Y793" t="str">
        <v>06-10-24</v>
      </c>
      <c r="Z793" t="s">
        <v>3647</v>
      </c>
      <c r="AA793" t="str">
        <v>Rahul Verma</v>
      </c>
      <c r="AB793" t="str">
        <f t="shared" si="121"/>
        <v>Home Office</v>
      </c>
      <c r="AC793" t="str">
        <f t="shared" si="122"/>
        <v>South</v>
      </c>
      <c r="AD793" t="str">
        <f t="shared" si="123"/>
        <v>Karnataka</v>
      </c>
      <c r="AE793" t="str">
        <f t="shared" si="124"/>
        <v>Bengaluru</v>
      </c>
      <c r="AF793" t="str">
        <f t="shared" si="125"/>
        <v>Furniture</v>
      </c>
      <c r="AG793" t="str">
        <f t="shared" si="126"/>
        <v>Bookcases</v>
      </c>
      <c r="AH793" t="str">
        <f t="shared" si="127"/>
        <v>Eco Bookcases 144</v>
      </c>
      <c r="AI793" t="str">
        <f t="shared" si="128"/>
        <v>Same Day</v>
      </c>
      <c r="AJ793" s="3" t="str">
        <f t="shared" si="129"/>
        <v>anomaly</v>
      </c>
      <c r="AK793">
        <f t="shared" si="130"/>
        <v>4</v>
      </c>
    </row>
    <row r="794" spans="1:37">
      <c r="A794" t="s">
        <v>3649</v>
      </c>
      <c r="B794" t="s">
        <v>1228</v>
      </c>
      <c r="C794" t="s">
        <v>3650</v>
      </c>
      <c r="D794" t="s">
        <v>3651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3652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  <c r="W794" t="s">
        <v>3649</v>
      </c>
      <c r="X794" t="str">
        <v>04-06-25</v>
      </c>
      <c r="Y794" t="str">
        <v>08-06-25</v>
      </c>
      <c r="Z794" t="s">
        <v>3651</v>
      </c>
      <c r="AA794" t="str">
        <v>Arjun Bose</v>
      </c>
      <c r="AB794" t="str">
        <f t="shared" si="121"/>
        <v>Small Business</v>
      </c>
      <c r="AC794" t="str">
        <f t="shared" si="122"/>
        <v>East</v>
      </c>
      <c r="AD794" t="str">
        <f t="shared" si="123"/>
        <v>Assam</v>
      </c>
      <c r="AE794" t="str">
        <f t="shared" si="124"/>
        <v>Guwahati</v>
      </c>
      <c r="AF794" t="str">
        <f t="shared" si="125"/>
        <v>Furniture</v>
      </c>
      <c r="AG794" t="str">
        <f t="shared" si="126"/>
        <v>Furnishings</v>
      </c>
      <c r="AH794" t="str">
        <f t="shared" si="127"/>
        <v>Elite Furnishings 852</v>
      </c>
      <c r="AI794" t="str">
        <f t="shared" si="128"/>
        <v>Second Class</v>
      </c>
      <c r="AJ794" s="3" t="str">
        <f t="shared" si="129"/>
        <v>anomaly</v>
      </c>
      <c r="AK794">
        <f t="shared" si="130"/>
        <v>4</v>
      </c>
    </row>
    <row r="795" spans="1:37">
      <c r="A795" t="s">
        <v>3653</v>
      </c>
      <c r="B795" t="s">
        <v>81</v>
      </c>
      <c r="C795" t="s">
        <v>3654</v>
      </c>
      <c r="D795" t="s">
        <v>3655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3656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  <c r="W795" t="s">
        <v>3653</v>
      </c>
      <c r="X795" t="str">
        <v>28-05-24</v>
      </c>
      <c r="Y795" t="str">
        <v>03-06-24</v>
      </c>
      <c r="Z795" t="s">
        <v>3655</v>
      </c>
      <c r="AA795" t="str">
        <v>Vikram Iyer</v>
      </c>
      <c r="AB795" t="str">
        <f t="shared" si="121"/>
        <v>Corporate</v>
      </c>
      <c r="AC795" t="str">
        <f t="shared" si="122"/>
        <v>North</v>
      </c>
      <c r="AD795" t="str">
        <f t="shared" si="123"/>
        <v>Rajasthan</v>
      </c>
      <c r="AE795" t="str">
        <f t="shared" si="124"/>
        <v>Jaipur</v>
      </c>
      <c r="AF795" t="str">
        <f t="shared" si="125"/>
        <v>Technology</v>
      </c>
      <c r="AG795" t="str">
        <f t="shared" si="126"/>
        <v>Copiers</v>
      </c>
      <c r="AH795" t="str">
        <f t="shared" si="127"/>
        <v>Basic Copiers 238</v>
      </c>
      <c r="AI795" t="str">
        <f t="shared" si="128"/>
        <v>Second Class</v>
      </c>
      <c r="AJ795" s="3" t="str">
        <f t="shared" si="129"/>
        <v xml:space="preserve">  </v>
      </c>
      <c r="AK795">
        <f t="shared" si="130"/>
        <v>6</v>
      </c>
    </row>
    <row r="796" spans="1:37">
      <c r="A796" t="s">
        <v>3657</v>
      </c>
      <c r="B796" t="s">
        <v>3658</v>
      </c>
      <c r="C796" t="s">
        <v>995</v>
      </c>
      <c r="D796" t="s">
        <v>3659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3660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  <c r="W796" t="s">
        <v>3657</v>
      </c>
      <c r="X796" t="str">
        <v>22-06-25</v>
      </c>
      <c r="Y796" t="str">
        <v>24-06-25</v>
      </c>
      <c r="Z796" t="s">
        <v>3659</v>
      </c>
      <c r="AA796" t="str">
        <v>Sneha Kapoor</v>
      </c>
      <c r="AB796" t="str">
        <f t="shared" si="121"/>
        <v>Corporate</v>
      </c>
      <c r="AC796" t="str">
        <f t="shared" si="122"/>
        <v>East</v>
      </c>
      <c r="AD796" t="str">
        <f t="shared" si="123"/>
        <v>Assam</v>
      </c>
      <c r="AE796" t="str">
        <f t="shared" si="124"/>
        <v>Guwahati</v>
      </c>
      <c r="AF796" t="str">
        <f t="shared" si="125"/>
        <v>Office Supplies</v>
      </c>
      <c r="AG796" t="str">
        <f t="shared" si="126"/>
        <v>Paper</v>
      </c>
      <c r="AH796" t="str">
        <f t="shared" si="127"/>
        <v>Elite Paper 847</v>
      </c>
      <c r="AI796" t="str">
        <f t="shared" si="128"/>
        <v>Standard Class</v>
      </c>
      <c r="AJ796" s="3" t="str">
        <f t="shared" si="129"/>
        <v>anomaly</v>
      </c>
      <c r="AK796">
        <f t="shared" si="130"/>
        <v>2</v>
      </c>
    </row>
    <row r="797" spans="1:37">
      <c r="A797" t="s">
        <v>3661</v>
      </c>
      <c r="B797" t="s">
        <v>3662</v>
      </c>
      <c r="C797" t="s">
        <v>529</v>
      </c>
      <c r="D797" t="s">
        <v>3663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3664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  <c r="W797" t="s">
        <v>3661</v>
      </c>
      <c r="X797" t="str">
        <v>30-07-24</v>
      </c>
      <c r="Y797" t="str">
        <v>30-07-24</v>
      </c>
      <c r="Z797" t="s">
        <v>3663</v>
      </c>
      <c r="AA797" t="str">
        <v>Diya Patel</v>
      </c>
      <c r="AB797" t="str">
        <f t="shared" si="121"/>
        <v>Home Office</v>
      </c>
      <c r="AC797" t="str">
        <f t="shared" si="122"/>
        <v>East</v>
      </c>
      <c r="AD797" t="str">
        <f t="shared" si="123"/>
        <v>Odisha</v>
      </c>
      <c r="AE797" t="str">
        <f t="shared" si="124"/>
        <v>Bhubaneswar</v>
      </c>
      <c r="AF797" t="str">
        <f t="shared" si="125"/>
        <v>Technology</v>
      </c>
      <c r="AG797" t="str">
        <f t="shared" si="126"/>
        <v>Copiers</v>
      </c>
      <c r="AH797" t="str">
        <f t="shared" si="127"/>
        <v>Pro Copiers 653</v>
      </c>
      <c r="AI797" t="str">
        <f t="shared" si="128"/>
        <v>Same Day</v>
      </c>
      <c r="AJ797" s="3" t="str">
        <f t="shared" si="129"/>
        <v xml:space="preserve">  </v>
      </c>
      <c r="AK797">
        <f t="shared" si="130"/>
        <v>0</v>
      </c>
    </row>
    <row r="798" spans="1:37">
      <c r="A798" t="s">
        <v>3665</v>
      </c>
      <c r="B798" t="s">
        <v>795</v>
      </c>
      <c r="C798" t="s">
        <v>3666</v>
      </c>
      <c r="D798" t="s">
        <v>3667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3668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  <c r="W798" t="s">
        <v>3665</v>
      </c>
      <c r="X798" t="str">
        <v>invalid date</v>
      </c>
      <c r="Y798" t="str">
        <v>30-03-24</v>
      </c>
      <c r="Z798" t="s">
        <v>3667</v>
      </c>
      <c r="AA798" t="str">
        <v>Rohan Mehta</v>
      </c>
      <c r="AB798" t="str">
        <f t="shared" si="121"/>
        <v>Small Business</v>
      </c>
      <c r="AC798" t="str">
        <f t="shared" si="122"/>
        <v>South</v>
      </c>
      <c r="AD798" t="str">
        <f t="shared" si="123"/>
        <v>Andhra Pradesh</v>
      </c>
      <c r="AE798" t="str">
        <f t="shared" si="124"/>
        <v>Vijayawada</v>
      </c>
      <c r="AF798" t="str">
        <f t="shared" si="125"/>
        <v>Technology</v>
      </c>
      <c r="AG798" t="str">
        <f t="shared" si="126"/>
        <v>Machines</v>
      </c>
      <c r="AH798" t="str">
        <f t="shared" si="127"/>
        <v>Elite Machines 459</v>
      </c>
      <c r="AI798" t="str">
        <f t="shared" si="128"/>
        <v>First Class</v>
      </c>
      <c r="AJ798" s="3" t="str">
        <f t="shared" si="129"/>
        <v>Invalid</v>
      </c>
      <c r="AK798" t="str">
        <f t="shared" si="130"/>
        <v>invalid date</v>
      </c>
    </row>
    <row r="799" spans="1:37">
      <c r="A799" t="s">
        <v>3669</v>
      </c>
      <c r="B799" t="s">
        <v>3670</v>
      </c>
      <c r="C799" t="s">
        <v>3581</v>
      </c>
      <c r="D799" t="s">
        <v>3671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3672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  <c r="W799" t="s">
        <v>3669</v>
      </c>
      <c r="X799" t="str">
        <v>18-04-24</v>
      </c>
      <c r="Y799" t="str">
        <v>22-04-24</v>
      </c>
      <c r="Z799" t="s">
        <v>3671</v>
      </c>
      <c r="AA799" t="str">
        <v>Aarav Sharma</v>
      </c>
      <c r="AB799" t="str">
        <f t="shared" si="121"/>
        <v>Consumer</v>
      </c>
      <c r="AC799" t="str">
        <f t="shared" si="122"/>
        <v>East</v>
      </c>
      <c r="AD799" t="str">
        <f t="shared" si="123"/>
        <v>Odisha</v>
      </c>
      <c r="AE799" t="str">
        <f t="shared" si="124"/>
        <v>Bhubaneswar</v>
      </c>
      <c r="AF799" t="str">
        <f t="shared" si="125"/>
        <v>Office Supplies</v>
      </c>
      <c r="AG799" t="str">
        <f t="shared" si="126"/>
        <v>Binders</v>
      </c>
      <c r="AH799" t="str">
        <f t="shared" si="127"/>
        <v>Elite Binders 764</v>
      </c>
      <c r="AI799" t="str">
        <f t="shared" si="128"/>
        <v>First Class</v>
      </c>
      <c r="AJ799" s="3" t="str">
        <f t="shared" si="129"/>
        <v>anomaly</v>
      </c>
      <c r="AK799">
        <f t="shared" si="130"/>
        <v>4</v>
      </c>
    </row>
    <row r="800" spans="1:37">
      <c r="A800" t="s">
        <v>3673</v>
      </c>
      <c r="B800" t="s">
        <v>3674</v>
      </c>
      <c r="C800" t="s">
        <v>3675</v>
      </c>
      <c r="D800" t="s">
        <v>3676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3677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  <c r="W800" t="s">
        <v>3673</v>
      </c>
      <c r="X800" t="str">
        <v>11-07-25</v>
      </c>
      <c r="Y800" t="str">
        <v>09-07-25</v>
      </c>
      <c r="Z800" t="s">
        <v>3676</v>
      </c>
      <c r="AA800" t="str">
        <v>Aditi Sen</v>
      </c>
      <c r="AB800" t="str">
        <f t="shared" si="121"/>
        <v>Corporate</v>
      </c>
      <c r="AC800" t="str">
        <f t="shared" si="122"/>
        <v>North</v>
      </c>
      <c r="AD800" t="str">
        <f t="shared" si="123"/>
        <v>Delhi</v>
      </c>
      <c r="AE800" t="str">
        <f t="shared" si="124"/>
        <v>New Delhi</v>
      </c>
      <c r="AF800" t="str">
        <f t="shared" si="125"/>
        <v>Furniture</v>
      </c>
      <c r="AG800" t="str">
        <f t="shared" si="126"/>
        <v>Furnishings</v>
      </c>
      <c r="AH800" t="str">
        <f t="shared" si="127"/>
        <v>Classic Furnishings 348</v>
      </c>
      <c r="AI800" t="str">
        <f t="shared" si="128"/>
        <v>Standard Class</v>
      </c>
      <c r="AJ800" s="3" t="str">
        <f t="shared" si="129"/>
        <v xml:space="preserve">  </v>
      </c>
      <c r="AK800">
        <f t="shared" si="130"/>
        <v>-2</v>
      </c>
    </row>
    <row r="801" spans="1:37">
      <c r="A801" t="s">
        <v>3678</v>
      </c>
      <c r="B801" t="s">
        <v>3364</v>
      </c>
      <c r="C801" t="s">
        <v>2541</v>
      </c>
      <c r="D801" t="s">
        <v>3679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3680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  <c r="W801" t="s">
        <v>3678</v>
      </c>
      <c r="X801" t="str">
        <v>10-10-24</v>
      </c>
      <c r="Y801" t="str">
        <v>17-10-24</v>
      </c>
      <c r="Z801" t="s">
        <v>3679</v>
      </c>
      <c r="AA801" t="str">
        <v>Isha Nair</v>
      </c>
      <c r="AB801" t="str">
        <f t="shared" si="121"/>
        <v>Home Office</v>
      </c>
      <c r="AC801" t="str">
        <f t="shared" si="122"/>
        <v>North</v>
      </c>
      <c r="AD801" t="str">
        <f t="shared" si="123"/>
        <v>Haryana</v>
      </c>
      <c r="AE801" t="str">
        <f t="shared" si="124"/>
        <v>Gurugram</v>
      </c>
      <c r="AF801" t="str">
        <f t="shared" si="125"/>
        <v>Technology</v>
      </c>
      <c r="AG801" t="str">
        <f t="shared" si="126"/>
        <v>Accessories</v>
      </c>
      <c r="AH801" t="str">
        <f t="shared" si="127"/>
        <v>Smart Accessories 487</v>
      </c>
      <c r="AI801" s="5" t="s">
        <v>4116</v>
      </c>
      <c r="AJ801" s="3" t="str">
        <f t="shared" si="129"/>
        <v>anomaly</v>
      </c>
      <c r="AK801">
        <f t="shared" si="130"/>
        <v>7</v>
      </c>
    </row>
    <row r="802" spans="1:37">
      <c r="A802" t="s">
        <v>3681</v>
      </c>
      <c r="B802" t="s">
        <v>3682</v>
      </c>
      <c r="C802" t="s">
        <v>3683</v>
      </c>
      <c r="D802" t="s">
        <v>3684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3685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  <c r="W802" t="s">
        <v>3681</v>
      </c>
      <c r="X802" t="str">
        <v>01-03-24</v>
      </c>
      <c r="Y802" t="str">
        <v>07-03-24</v>
      </c>
      <c r="Z802" t="s">
        <v>3684</v>
      </c>
      <c r="AA802" t="str">
        <v>Vikram Iyer</v>
      </c>
      <c r="AB802" t="str">
        <f t="shared" si="121"/>
        <v>Small Business</v>
      </c>
      <c r="AC802" t="str">
        <f t="shared" si="122"/>
        <v>West</v>
      </c>
      <c r="AD802" t="str">
        <f t="shared" si="123"/>
        <v>Maharashtra</v>
      </c>
      <c r="AE802" t="str">
        <f t="shared" si="124"/>
        <v>Mumbai</v>
      </c>
      <c r="AF802" t="str">
        <f t="shared" si="125"/>
        <v>Office Supplies</v>
      </c>
      <c r="AG802" t="str">
        <f t="shared" si="126"/>
        <v>Storage</v>
      </c>
      <c r="AH802" t="str">
        <f t="shared" si="127"/>
        <v>Elite Storage 825</v>
      </c>
      <c r="AI802" t="str">
        <f t="shared" si="128"/>
        <v>Second Class</v>
      </c>
      <c r="AJ802" s="3" t="str">
        <f t="shared" si="129"/>
        <v>anomaly</v>
      </c>
      <c r="AK802">
        <f t="shared" si="130"/>
        <v>6</v>
      </c>
    </row>
    <row r="803" spans="1:37">
      <c r="A803" t="s">
        <v>3686</v>
      </c>
      <c r="B803" t="s">
        <v>3687</v>
      </c>
      <c r="C803" t="s">
        <v>309</v>
      </c>
      <c r="D803" t="s">
        <v>3688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3689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  <c r="W803" t="s">
        <v>3686</v>
      </c>
      <c r="X803" t="str">
        <v>08-10-25</v>
      </c>
      <c r="Y803" t="str">
        <v>15-10-25</v>
      </c>
      <c r="Z803" t="s">
        <v>3688</v>
      </c>
      <c r="AA803" t="str">
        <v>Aarav Sharma</v>
      </c>
      <c r="AB803" t="str">
        <f t="shared" si="121"/>
        <v>Home Office</v>
      </c>
      <c r="AC803" t="str">
        <f t="shared" si="122"/>
        <v>East</v>
      </c>
      <c r="AD803" t="str">
        <f t="shared" si="123"/>
        <v>Odisha</v>
      </c>
      <c r="AE803" t="str">
        <f t="shared" si="124"/>
        <v>Bhubaneswar</v>
      </c>
      <c r="AF803" t="str">
        <f t="shared" si="125"/>
        <v>Technology</v>
      </c>
      <c r="AG803" t="str">
        <f t="shared" si="126"/>
        <v>Accessories</v>
      </c>
      <c r="AH803" t="str">
        <f t="shared" si="127"/>
        <v>Pro Accessories 500</v>
      </c>
      <c r="AI803" t="str">
        <f t="shared" si="128"/>
        <v>Second Class</v>
      </c>
      <c r="AJ803" s="3" t="str">
        <f t="shared" si="129"/>
        <v>anomaly</v>
      </c>
      <c r="AK803">
        <f t="shared" si="130"/>
        <v>7</v>
      </c>
    </row>
    <row r="804" spans="1:37">
      <c r="A804" t="s">
        <v>3690</v>
      </c>
      <c r="B804" t="s">
        <v>3170</v>
      </c>
      <c r="C804" t="s">
        <v>3691</v>
      </c>
      <c r="D804" t="s">
        <v>3692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3693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3694</v>
      </c>
      <c r="U804" t="s">
        <v>125</v>
      </c>
      <c r="W804" t="s">
        <v>3690</v>
      </c>
      <c r="X804" t="str">
        <v>16-02-25</v>
      </c>
      <c r="Y804" t="str">
        <v>16-02-25</v>
      </c>
      <c r="Z804" t="s">
        <v>3692</v>
      </c>
      <c r="AA804" t="str">
        <v>Rohan Mehta</v>
      </c>
      <c r="AB804" t="str">
        <f t="shared" si="121"/>
        <v>Small Business</v>
      </c>
      <c r="AC804" t="str">
        <f t="shared" si="122"/>
        <v>East</v>
      </c>
      <c r="AD804" t="str">
        <f t="shared" si="123"/>
        <v>Assam</v>
      </c>
      <c r="AE804" t="str">
        <f t="shared" si="124"/>
        <v>Guwahati</v>
      </c>
      <c r="AF804" t="str">
        <f t="shared" si="125"/>
        <v>Furniture</v>
      </c>
      <c r="AG804" t="str">
        <f t="shared" si="126"/>
        <v>Furnishings</v>
      </c>
      <c r="AH804" t="str">
        <f t="shared" si="127"/>
        <v>Pro Furnishings 909</v>
      </c>
      <c r="AI804" t="str">
        <f t="shared" si="128"/>
        <v>Second Class</v>
      </c>
      <c r="AJ804" s="3" t="str">
        <f t="shared" si="129"/>
        <v xml:space="preserve">  </v>
      </c>
      <c r="AK804">
        <f t="shared" si="130"/>
        <v>0</v>
      </c>
    </row>
    <row r="805" spans="1:37">
      <c r="A805" t="s">
        <v>3695</v>
      </c>
      <c r="B805" t="s">
        <v>3696</v>
      </c>
      <c r="C805" t="s">
        <v>732</v>
      </c>
      <c r="D805" t="s">
        <v>3697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3698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  <c r="W805" t="s">
        <v>3695</v>
      </c>
      <c r="X805" t="str">
        <v>09-12-24</v>
      </c>
      <c r="Y805" t="str">
        <v>13-12-24</v>
      </c>
      <c r="Z805" t="s">
        <v>3697</v>
      </c>
      <c r="AA805" t="str">
        <v>Rohan Mehta</v>
      </c>
      <c r="AB805" t="str">
        <f t="shared" si="121"/>
        <v>Consumer</v>
      </c>
      <c r="AC805" s="5" t="s">
        <v>4116</v>
      </c>
      <c r="AD805" t="str">
        <f t="shared" si="123"/>
        <v>Jharkhand</v>
      </c>
      <c r="AE805" t="str">
        <f t="shared" si="124"/>
        <v>Ranchi</v>
      </c>
      <c r="AF805" t="str">
        <f t="shared" si="125"/>
        <v>Office Supplies</v>
      </c>
      <c r="AG805" t="str">
        <f t="shared" si="126"/>
        <v>Labels</v>
      </c>
      <c r="AH805" t="str">
        <f t="shared" si="127"/>
        <v>Basic Labels 359</v>
      </c>
      <c r="AI805" t="str">
        <f t="shared" si="128"/>
        <v>First Class</v>
      </c>
      <c r="AJ805" s="3" t="str">
        <f t="shared" si="129"/>
        <v>anomaly</v>
      </c>
      <c r="AK805">
        <f t="shared" si="130"/>
        <v>4</v>
      </c>
    </row>
    <row r="806" spans="1:37">
      <c r="A806" t="s">
        <v>3699</v>
      </c>
      <c r="B806" t="s">
        <v>988</v>
      </c>
      <c r="C806" t="s">
        <v>2194</v>
      </c>
      <c r="D806" t="s">
        <v>3700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3701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  <c r="W806" t="s">
        <v>3699</v>
      </c>
      <c r="X806" t="str">
        <v>10-09-25</v>
      </c>
      <c r="Y806" t="str">
        <v>18-09-25</v>
      </c>
      <c r="Z806" t="s">
        <v>3700</v>
      </c>
      <c r="AA806" t="str">
        <v>Rahul Verma</v>
      </c>
      <c r="AB806" t="str">
        <f t="shared" si="121"/>
        <v>Home Office</v>
      </c>
      <c r="AC806" t="str">
        <f t="shared" si="122"/>
        <v>South</v>
      </c>
      <c r="AD806" t="str">
        <f t="shared" si="123"/>
        <v>Telangana</v>
      </c>
      <c r="AE806" t="str">
        <f t="shared" si="124"/>
        <v>Hyderabad</v>
      </c>
      <c r="AF806" t="str">
        <f t="shared" si="125"/>
        <v>Furniture</v>
      </c>
      <c r="AG806" t="str">
        <f t="shared" si="126"/>
        <v>Furnishings</v>
      </c>
      <c r="AH806" t="str">
        <f t="shared" si="127"/>
        <v>Eco Furnishings 541</v>
      </c>
      <c r="AI806" t="str">
        <f t="shared" si="128"/>
        <v>Standard Class</v>
      </c>
      <c r="AJ806" s="3" t="str">
        <f t="shared" si="129"/>
        <v>anomaly</v>
      </c>
      <c r="AK806">
        <f t="shared" si="130"/>
        <v>8</v>
      </c>
    </row>
    <row r="807" spans="1:37">
      <c r="A807" t="s">
        <v>3702</v>
      </c>
      <c r="B807" t="s">
        <v>1314</v>
      </c>
      <c r="C807" t="s">
        <v>1062</v>
      </c>
      <c r="D807" t="s">
        <v>3518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3703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  <c r="W807" t="s">
        <v>3702</v>
      </c>
      <c r="X807" t="str">
        <v>06-04-25</v>
      </c>
      <c r="Y807" t="str">
        <v>07-04-25</v>
      </c>
      <c r="Z807" t="s">
        <v>3518</v>
      </c>
      <c r="AA807" t="str">
        <v>Priya Menon</v>
      </c>
      <c r="AB807" t="str">
        <f t="shared" si="121"/>
        <v>Home Office</v>
      </c>
      <c r="AC807" t="str">
        <f t="shared" si="122"/>
        <v>East</v>
      </c>
      <c r="AD807" t="str">
        <f t="shared" si="123"/>
        <v>Assam</v>
      </c>
      <c r="AE807" t="str">
        <f t="shared" si="124"/>
        <v>Guwahati</v>
      </c>
      <c r="AF807" t="str">
        <f t="shared" si="125"/>
        <v>Office Supplies</v>
      </c>
      <c r="AG807" t="str">
        <f t="shared" si="126"/>
        <v>Binders</v>
      </c>
      <c r="AH807" t="str">
        <f t="shared" si="127"/>
        <v>Classic Binders 103</v>
      </c>
      <c r="AI807" t="str">
        <f t="shared" si="128"/>
        <v>Second Class</v>
      </c>
      <c r="AJ807" s="3" t="str">
        <f t="shared" si="129"/>
        <v>anomaly</v>
      </c>
      <c r="AK807">
        <f t="shared" si="130"/>
        <v>1</v>
      </c>
    </row>
    <row r="808" spans="1:37">
      <c r="A808" t="s">
        <v>3704</v>
      </c>
      <c r="B808" t="s">
        <v>3705</v>
      </c>
      <c r="C808" t="s">
        <v>3706</v>
      </c>
      <c r="D808" t="s">
        <v>3707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3708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  <c r="W808" t="s">
        <v>3704</v>
      </c>
      <c r="X808" t="str">
        <v>09-11-24</v>
      </c>
      <c r="Y808" t="str">
        <v>15-11-24</v>
      </c>
      <c r="Z808" t="s">
        <v>3707</v>
      </c>
      <c r="AA808" t="str">
        <v>Isha Nair</v>
      </c>
      <c r="AB808" t="str">
        <f t="shared" si="121"/>
        <v>Home Office</v>
      </c>
      <c r="AC808" t="str">
        <f t="shared" si="122"/>
        <v>North</v>
      </c>
      <c r="AD808" t="str">
        <f t="shared" si="123"/>
        <v>Rajasthan</v>
      </c>
      <c r="AE808" t="str">
        <f t="shared" si="124"/>
        <v>Jaipur</v>
      </c>
      <c r="AF808" t="str">
        <f t="shared" si="125"/>
        <v>Technology</v>
      </c>
      <c r="AG808" t="str">
        <f t="shared" si="126"/>
        <v>Copiers</v>
      </c>
      <c r="AH808" t="str">
        <f t="shared" si="127"/>
        <v>Max Copiers 560</v>
      </c>
      <c r="AI808" t="str">
        <f t="shared" si="128"/>
        <v>Standard Class</v>
      </c>
      <c r="AJ808" s="3" t="str">
        <f t="shared" si="129"/>
        <v>anomaly</v>
      </c>
      <c r="AK808">
        <f t="shared" si="130"/>
        <v>6</v>
      </c>
    </row>
    <row r="809" spans="1:37">
      <c r="A809" t="s">
        <v>3709</v>
      </c>
      <c r="B809" t="s">
        <v>1274</v>
      </c>
      <c r="C809" t="s">
        <v>2268</v>
      </c>
      <c r="D809" t="s">
        <v>3710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3711</v>
      </c>
      <c r="M809" t="s">
        <v>3712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  <c r="W809" t="s">
        <v>3709</v>
      </c>
      <c r="X809" t="str">
        <v>07-02-25</v>
      </c>
      <c r="Y809" t="str">
        <v>08-02-25</v>
      </c>
      <c r="Z809" t="s">
        <v>3710</v>
      </c>
      <c r="AA809" t="str">
        <v>Karan Malhotra</v>
      </c>
      <c r="AB809" t="str">
        <f t="shared" si="121"/>
        <v>Small Business</v>
      </c>
      <c r="AC809" t="str">
        <f t="shared" si="122"/>
        <v>South</v>
      </c>
      <c r="AD809" t="str">
        <f t="shared" si="123"/>
        <v>Telangana</v>
      </c>
      <c r="AE809" t="str">
        <f t="shared" si="124"/>
        <v>Hyderabad</v>
      </c>
      <c r="AF809" t="str">
        <f t="shared" si="125"/>
        <v>Office Supplies</v>
      </c>
      <c r="AG809" t="str">
        <f t="shared" si="126"/>
        <v>Labels</v>
      </c>
      <c r="AH809" t="str">
        <f t="shared" si="127"/>
        <v>Smart Labels 436</v>
      </c>
      <c r="AI809" t="str">
        <f t="shared" si="128"/>
        <v>Standard Class</v>
      </c>
      <c r="AJ809" s="3" t="str">
        <f t="shared" si="129"/>
        <v>anomaly</v>
      </c>
      <c r="AK809">
        <f t="shared" si="130"/>
        <v>1</v>
      </c>
    </row>
    <row r="810" spans="1:37">
      <c r="A810" t="s">
        <v>3713</v>
      </c>
      <c r="B810" t="s">
        <v>3714</v>
      </c>
      <c r="C810" t="s">
        <v>2032</v>
      </c>
      <c r="D810" t="s">
        <v>3715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3716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  <c r="W810" t="s">
        <v>3713</v>
      </c>
      <c r="X810" t="str">
        <v>31-08-25</v>
      </c>
      <c r="Y810" t="str">
        <v>28-08-25</v>
      </c>
      <c r="Z810" t="s">
        <v>3715</v>
      </c>
      <c r="AA810" t="str">
        <v>Aarav Sharma</v>
      </c>
      <c r="AB810" t="str">
        <f t="shared" si="121"/>
        <v>Small Business</v>
      </c>
      <c r="AC810" t="str">
        <f t="shared" si="122"/>
        <v>South</v>
      </c>
      <c r="AD810" t="str">
        <f t="shared" si="123"/>
        <v>Tamil Nadu</v>
      </c>
      <c r="AE810" t="str">
        <f t="shared" si="124"/>
        <v>Chennai</v>
      </c>
      <c r="AF810" t="str">
        <f t="shared" si="125"/>
        <v>Furniture</v>
      </c>
      <c r="AG810" t="str">
        <f t="shared" si="126"/>
        <v>Furnishings</v>
      </c>
      <c r="AH810" t="str">
        <f t="shared" si="127"/>
        <v>Pro Furnishings 386</v>
      </c>
      <c r="AI810" t="str">
        <f t="shared" si="128"/>
        <v>First Class</v>
      </c>
      <c r="AJ810" s="3" t="str">
        <f t="shared" si="129"/>
        <v xml:space="preserve">  </v>
      </c>
      <c r="AK810">
        <f t="shared" si="130"/>
        <v>-3</v>
      </c>
    </row>
    <row r="811" spans="1:37">
      <c r="A811" t="s">
        <v>3717</v>
      </c>
      <c r="B811" t="s">
        <v>1514</v>
      </c>
      <c r="C811" t="s">
        <v>1514</v>
      </c>
      <c r="D811" t="s">
        <v>3718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3719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  <c r="W811" t="s">
        <v>3717</v>
      </c>
      <c r="X811" t="str">
        <v>25-06-25</v>
      </c>
      <c r="Y811" t="str">
        <v>25-06-25</v>
      </c>
      <c r="Z811" t="s">
        <v>3718</v>
      </c>
      <c r="AA811" t="str">
        <v>Arjun Bose</v>
      </c>
      <c r="AB811" t="str">
        <f t="shared" si="121"/>
        <v>Small Business</v>
      </c>
      <c r="AC811" s="5" t="s">
        <v>4116</v>
      </c>
      <c r="AD811" t="str">
        <f t="shared" si="123"/>
        <v>Punjab</v>
      </c>
      <c r="AE811" t="str">
        <f t="shared" si="124"/>
        <v>Ludhiana</v>
      </c>
      <c r="AF811" t="str">
        <f t="shared" si="125"/>
        <v>Office Supplies</v>
      </c>
      <c r="AG811" t="str">
        <f t="shared" si="126"/>
        <v>Binders</v>
      </c>
      <c r="AH811" t="str">
        <f t="shared" si="127"/>
        <v>Eco Binders 601</v>
      </c>
      <c r="AI811" t="str">
        <f t="shared" si="128"/>
        <v>Second Class</v>
      </c>
      <c r="AJ811" s="3" t="str">
        <f t="shared" si="129"/>
        <v xml:space="preserve">  </v>
      </c>
      <c r="AK811">
        <f t="shared" si="130"/>
        <v>0</v>
      </c>
    </row>
    <row r="812" spans="1:37">
      <c r="A812" t="s">
        <v>3720</v>
      </c>
      <c r="B812" t="s">
        <v>3721</v>
      </c>
      <c r="C812" t="s">
        <v>3722</v>
      </c>
      <c r="D812" t="s">
        <v>2532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3723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  <c r="W812" t="s">
        <v>3720</v>
      </c>
      <c r="X812" t="str">
        <v>04-03-24</v>
      </c>
      <c r="Y812" t="str">
        <v>08-04-24</v>
      </c>
      <c r="Z812" t="s">
        <v>2532</v>
      </c>
      <c r="AA812" t="str">
        <v>Kabir Singh</v>
      </c>
      <c r="AB812" t="str">
        <f t="shared" si="121"/>
        <v>Home Office</v>
      </c>
      <c r="AC812" t="str">
        <f t="shared" si="122"/>
        <v>West</v>
      </c>
      <c r="AD812" t="str">
        <f t="shared" si="123"/>
        <v>Gujarat</v>
      </c>
      <c r="AE812" t="str">
        <f t="shared" si="124"/>
        <v>Ahmedabad</v>
      </c>
      <c r="AF812" t="str">
        <f t="shared" si="125"/>
        <v>Technology</v>
      </c>
      <c r="AG812" t="str">
        <f t="shared" si="126"/>
        <v>Copiers</v>
      </c>
      <c r="AH812" t="str">
        <f t="shared" si="127"/>
        <v>Pro Copiers 867</v>
      </c>
      <c r="AI812" t="str">
        <f t="shared" si="128"/>
        <v>First Class</v>
      </c>
      <c r="AJ812" s="3" t="str">
        <f t="shared" si="129"/>
        <v>anomaly</v>
      </c>
      <c r="AK812">
        <f t="shared" si="130"/>
        <v>35</v>
      </c>
    </row>
    <row r="813" spans="1:37">
      <c r="A813" t="s">
        <v>3724</v>
      </c>
      <c r="B813" t="s">
        <v>3725</v>
      </c>
      <c r="C813" t="s">
        <v>3726</v>
      </c>
      <c r="D813" t="s">
        <v>3727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3728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  <c r="W813" t="s">
        <v>3724</v>
      </c>
      <c r="X813" t="str">
        <v>12-12-24</v>
      </c>
      <c r="Y813" t="str">
        <v>19-12-24</v>
      </c>
      <c r="Z813" t="s">
        <v>3727</v>
      </c>
      <c r="AA813" t="str">
        <v>Rohan Mehta</v>
      </c>
      <c r="AB813" t="str">
        <f t="shared" si="121"/>
        <v>Home Office</v>
      </c>
      <c r="AC813" t="str">
        <f t="shared" si="122"/>
        <v>North</v>
      </c>
      <c r="AD813" t="str">
        <f t="shared" si="123"/>
        <v>Haryana</v>
      </c>
      <c r="AE813" t="str">
        <f t="shared" si="124"/>
        <v>Gurugram</v>
      </c>
      <c r="AF813" t="str">
        <f t="shared" si="125"/>
        <v>Technology</v>
      </c>
      <c r="AG813" t="str">
        <f t="shared" si="126"/>
        <v>Accessories</v>
      </c>
      <c r="AH813" t="str">
        <f t="shared" si="127"/>
        <v>Eco Accessories 122</v>
      </c>
      <c r="AI813" t="str">
        <f t="shared" si="128"/>
        <v>First Class</v>
      </c>
      <c r="AJ813" s="3" t="str">
        <f t="shared" si="129"/>
        <v>anomaly</v>
      </c>
      <c r="AK813">
        <f t="shared" si="130"/>
        <v>7</v>
      </c>
    </row>
    <row r="814" spans="1:37">
      <c r="A814" t="s">
        <v>3729</v>
      </c>
      <c r="B814" t="s">
        <v>809</v>
      </c>
      <c r="C814" t="s">
        <v>3730</v>
      </c>
      <c r="D814" t="s">
        <v>3731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3732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  <c r="W814" t="s">
        <v>3729</v>
      </c>
      <c r="X814" t="str">
        <v>15-06-24</v>
      </c>
      <c r="Y814" t="str">
        <v>20-06-24</v>
      </c>
      <c r="Z814" t="s">
        <v>3731</v>
      </c>
      <c r="AA814" t="str">
        <v>Sneha Kapoor</v>
      </c>
      <c r="AB814" t="str">
        <f t="shared" si="121"/>
        <v>Small Business</v>
      </c>
      <c r="AC814" t="str">
        <f t="shared" si="122"/>
        <v>East</v>
      </c>
      <c r="AD814" t="str">
        <f t="shared" si="123"/>
        <v>Jharkhand</v>
      </c>
      <c r="AE814" t="str">
        <f t="shared" si="124"/>
        <v>Ranchi</v>
      </c>
      <c r="AF814" t="str">
        <f t="shared" si="125"/>
        <v>Furniture</v>
      </c>
      <c r="AG814" t="str">
        <f t="shared" si="126"/>
        <v>Tables</v>
      </c>
      <c r="AH814" t="str">
        <f t="shared" si="127"/>
        <v>Basic Tables 127</v>
      </c>
      <c r="AI814" t="str">
        <f t="shared" si="128"/>
        <v>First Class</v>
      </c>
      <c r="AJ814" s="3" t="str">
        <f t="shared" si="129"/>
        <v>anomaly</v>
      </c>
      <c r="AK814">
        <f t="shared" si="130"/>
        <v>5</v>
      </c>
    </row>
    <row r="815" spans="1:37">
      <c r="A815" t="s">
        <v>3733</v>
      </c>
      <c r="B815" t="s">
        <v>3734</v>
      </c>
      <c r="C815" t="s">
        <v>3735</v>
      </c>
      <c r="D815" t="s">
        <v>3736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1715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  <c r="W815" t="s">
        <v>3733</v>
      </c>
      <c r="X815" t="str">
        <v>04-06-25</v>
      </c>
      <c r="Y815" t="str">
        <v>10-04-25</v>
      </c>
      <c r="Z815" t="s">
        <v>3736</v>
      </c>
      <c r="AA815" t="str">
        <v>Rohan Mehta</v>
      </c>
      <c r="AB815" t="str">
        <f t="shared" si="121"/>
        <v>Consumer</v>
      </c>
      <c r="AC815" t="str">
        <f t="shared" si="122"/>
        <v>East</v>
      </c>
      <c r="AD815" t="str">
        <f t="shared" si="123"/>
        <v>Odisha</v>
      </c>
      <c r="AE815" t="str">
        <f t="shared" si="124"/>
        <v>Bhubaneswar</v>
      </c>
      <c r="AF815" t="str">
        <f t="shared" si="125"/>
        <v>Furniture</v>
      </c>
      <c r="AG815" t="str">
        <f t="shared" si="126"/>
        <v>Bookcases</v>
      </c>
      <c r="AH815" t="str">
        <f t="shared" si="127"/>
        <v>Elite Bookcases 988</v>
      </c>
      <c r="AI815" t="str">
        <f t="shared" si="128"/>
        <v>Standard Class</v>
      </c>
      <c r="AJ815" s="3" t="str">
        <f t="shared" si="129"/>
        <v>anomaly</v>
      </c>
      <c r="AK815">
        <f t="shared" si="130"/>
        <v>-55</v>
      </c>
    </row>
    <row r="816" spans="1:37">
      <c r="A816" t="s">
        <v>3737</v>
      </c>
      <c r="B816" t="s">
        <v>1369</v>
      </c>
      <c r="C816" t="s">
        <v>583</v>
      </c>
      <c r="D816" t="s">
        <v>3738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3739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  <c r="W816" t="s">
        <v>3737</v>
      </c>
      <c r="X816" t="str">
        <v>06-08-25</v>
      </c>
      <c r="Y816" t="str">
        <v>11-08-25</v>
      </c>
      <c r="Z816" t="s">
        <v>3738</v>
      </c>
      <c r="AA816" t="str">
        <v>Arjun Bose</v>
      </c>
      <c r="AB816" t="str">
        <f t="shared" si="121"/>
        <v>Consumer</v>
      </c>
      <c r="AC816" t="str">
        <f t="shared" si="122"/>
        <v>West</v>
      </c>
      <c r="AD816" t="str">
        <f t="shared" si="123"/>
        <v>Madhya Pradesh</v>
      </c>
      <c r="AE816" t="str">
        <f t="shared" si="124"/>
        <v>Indore</v>
      </c>
      <c r="AF816" t="str">
        <f t="shared" si="125"/>
        <v>Office Supplies</v>
      </c>
      <c r="AG816" t="str">
        <f t="shared" si="126"/>
        <v>Labels</v>
      </c>
      <c r="AH816" t="str">
        <f t="shared" si="127"/>
        <v>Smart Labels 126</v>
      </c>
      <c r="AI816" t="str">
        <f t="shared" si="128"/>
        <v>First Class</v>
      </c>
      <c r="AJ816" s="3" t="str">
        <f t="shared" si="129"/>
        <v>anomaly</v>
      </c>
      <c r="AK816">
        <f t="shared" si="130"/>
        <v>5</v>
      </c>
    </row>
    <row r="817" spans="1:37">
      <c r="A817" t="s">
        <v>3740</v>
      </c>
      <c r="B817" t="s">
        <v>2440</v>
      </c>
      <c r="C817" t="s">
        <v>3741</v>
      </c>
      <c r="D817" t="s">
        <v>3742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3743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  <c r="W817" t="s">
        <v>3740</v>
      </c>
      <c r="X817" t="str">
        <v>04-01-24</v>
      </c>
      <c r="Y817" t="str">
        <v>08-04-24</v>
      </c>
      <c r="Z817" t="s">
        <v>3742</v>
      </c>
      <c r="AA817" t="str">
        <v>Diya Patel</v>
      </c>
      <c r="AB817" t="str">
        <f t="shared" si="121"/>
        <v>Consumer</v>
      </c>
      <c r="AC817" t="str">
        <f t="shared" si="122"/>
        <v>East</v>
      </c>
      <c r="AD817" t="str">
        <f t="shared" si="123"/>
        <v>Odisha</v>
      </c>
      <c r="AE817" t="str">
        <f t="shared" si="124"/>
        <v>Bhubaneswar</v>
      </c>
      <c r="AF817" t="str">
        <f t="shared" si="125"/>
        <v>Technology</v>
      </c>
      <c r="AG817" t="str">
        <f t="shared" si="126"/>
        <v>Machines</v>
      </c>
      <c r="AH817" t="str">
        <f t="shared" si="127"/>
        <v>Max Machines 569</v>
      </c>
      <c r="AI817" t="str">
        <f t="shared" si="128"/>
        <v>Standard Class</v>
      </c>
      <c r="AJ817" s="3" t="str">
        <f t="shared" si="129"/>
        <v>anomaly</v>
      </c>
      <c r="AK817">
        <f t="shared" si="130"/>
        <v>95</v>
      </c>
    </row>
    <row r="818" spans="1:37">
      <c r="A818" t="s">
        <v>3744</v>
      </c>
      <c r="B818" t="s">
        <v>3745</v>
      </c>
      <c r="C818" t="s">
        <v>3746</v>
      </c>
      <c r="D818" t="s">
        <v>3747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3748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  <c r="W818" t="s">
        <v>3744</v>
      </c>
      <c r="X818" t="str">
        <v>invalid date</v>
      </c>
      <c r="Y818" t="str">
        <v>30-11-24</v>
      </c>
      <c r="Z818" t="s">
        <v>3747</v>
      </c>
      <c r="AA818" t="str">
        <v>Rahul Verma</v>
      </c>
      <c r="AB818" t="str">
        <f t="shared" si="121"/>
        <v>Small Business</v>
      </c>
      <c r="AC818" t="str">
        <f t="shared" si="122"/>
        <v>East</v>
      </c>
      <c r="AD818" t="str">
        <f t="shared" si="123"/>
        <v>Jharkhand</v>
      </c>
      <c r="AE818" t="str">
        <f t="shared" si="124"/>
        <v>Ranchi</v>
      </c>
      <c r="AF818" t="str">
        <f t="shared" si="125"/>
        <v>Furniture</v>
      </c>
      <c r="AG818" t="str">
        <f t="shared" si="126"/>
        <v>Furnishings</v>
      </c>
      <c r="AH818" t="str">
        <f t="shared" si="127"/>
        <v>Basic Furnishings 306</v>
      </c>
      <c r="AI818" t="str">
        <f t="shared" si="128"/>
        <v>First Class</v>
      </c>
      <c r="AJ818" s="3" t="str">
        <f t="shared" si="129"/>
        <v>Invalid</v>
      </c>
      <c r="AK818" t="str">
        <f t="shared" si="130"/>
        <v>invalid date</v>
      </c>
    </row>
    <row r="819" spans="1:37">
      <c r="A819" t="s">
        <v>3749</v>
      </c>
      <c r="B819" t="s">
        <v>3750</v>
      </c>
      <c r="C819" t="s">
        <v>3751</v>
      </c>
      <c r="D819" t="s">
        <v>3752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3753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  <c r="W819" t="s">
        <v>3749</v>
      </c>
      <c r="X819" t="str">
        <v>05-04-25</v>
      </c>
      <c r="Y819" t="str">
        <v>04-05-25</v>
      </c>
      <c r="Z819" t="s">
        <v>3752</v>
      </c>
      <c r="AA819" t="str">
        <v>Sneha Kapoor</v>
      </c>
      <c r="AB819" t="str">
        <f t="shared" si="121"/>
        <v>Consumer</v>
      </c>
      <c r="AC819" t="str">
        <f t="shared" si="122"/>
        <v>East</v>
      </c>
      <c r="AD819" t="str">
        <f t="shared" si="123"/>
        <v>Bihar</v>
      </c>
      <c r="AE819" t="str">
        <f t="shared" si="124"/>
        <v>Patna</v>
      </c>
      <c r="AF819" t="str">
        <f t="shared" si="125"/>
        <v>Office Supplies</v>
      </c>
      <c r="AG819" t="str">
        <f t="shared" si="126"/>
        <v>Binders</v>
      </c>
      <c r="AH819" t="str">
        <f t="shared" si="127"/>
        <v>Classic Binders 873</v>
      </c>
      <c r="AI819" t="str">
        <f t="shared" si="128"/>
        <v>Standard Class</v>
      </c>
      <c r="AJ819" s="3" t="str">
        <f t="shared" si="129"/>
        <v xml:space="preserve">  </v>
      </c>
      <c r="AK819">
        <f t="shared" si="130"/>
        <v>29</v>
      </c>
    </row>
    <row r="820" spans="1:37">
      <c r="A820" t="s">
        <v>3754</v>
      </c>
      <c r="B820" t="s">
        <v>3755</v>
      </c>
      <c r="C820" t="s">
        <v>3236</v>
      </c>
      <c r="D820" t="s">
        <v>3756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3757</v>
      </c>
      <c r="M820" t="s">
        <v>56</v>
      </c>
      <c r="N820">
        <v>8</v>
      </c>
      <c r="O820">
        <v>1981.04</v>
      </c>
      <c r="P820" s="5" t="s">
        <v>4117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  <c r="W820" t="s">
        <v>3754</v>
      </c>
      <c r="X820" t="str">
        <v>29-09-24</v>
      </c>
      <c r="Y820" t="str">
        <v>05-10-24</v>
      </c>
      <c r="Z820" t="s">
        <v>3756</v>
      </c>
      <c r="AA820" t="str">
        <v>Priya Menon</v>
      </c>
      <c r="AB820" t="str">
        <f t="shared" si="121"/>
        <v>Small Business</v>
      </c>
      <c r="AC820" t="str">
        <f t="shared" si="122"/>
        <v>West</v>
      </c>
      <c r="AD820" t="str">
        <f t="shared" si="123"/>
        <v>Maharashtra</v>
      </c>
      <c r="AE820" t="str">
        <f t="shared" si="124"/>
        <v>Mumbai</v>
      </c>
      <c r="AF820" t="str">
        <f t="shared" si="125"/>
        <v>Office Supplies</v>
      </c>
      <c r="AG820" t="str">
        <f t="shared" si="126"/>
        <v>Labels</v>
      </c>
      <c r="AH820" t="str">
        <f t="shared" si="127"/>
        <v>Pro Labels 611</v>
      </c>
      <c r="AI820" t="str">
        <f t="shared" si="128"/>
        <v>First Class</v>
      </c>
      <c r="AJ820" s="3" t="str">
        <f t="shared" si="129"/>
        <v xml:space="preserve">  </v>
      </c>
      <c r="AK820">
        <f t="shared" si="130"/>
        <v>6</v>
      </c>
    </row>
    <row r="821" spans="1:37">
      <c r="A821" t="s">
        <v>3758</v>
      </c>
      <c r="B821" t="s">
        <v>1592</v>
      </c>
      <c r="C821" t="s">
        <v>3759</v>
      </c>
      <c r="D821" t="s">
        <v>3760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3761</v>
      </c>
      <c r="L821" t="s">
        <v>3762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  <c r="W821" t="s">
        <v>3758</v>
      </c>
      <c r="X821" t="str">
        <v>invalid date</v>
      </c>
      <c r="Y821" t="str">
        <v>31-07-24</v>
      </c>
      <c r="Z821" t="s">
        <v>3760</v>
      </c>
      <c r="AA821" t="str">
        <v>Karan Malhotra</v>
      </c>
      <c r="AB821" t="str">
        <f t="shared" si="121"/>
        <v>Home Office</v>
      </c>
      <c r="AC821" t="str">
        <f t="shared" si="122"/>
        <v>South</v>
      </c>
      <c r="AD821" t="str">
        <f t="shared" si="123"/>
        <v>Kerala</v>
      </c>
      <c r="AE821" t="str">
        <f t="shared" si="124"/>
        <v>Kochi</v>
      </c>
      <c r="AF821" t="str">
        <f t="shared" si="125"/>
        <v>Technology</v>
      </c>
      <c r="AG821" t="str">
        <f t="shared" si="126"/>
        <v>Machines</v>
      </c>
      <c r="AH821" t="str">
        <f t="shared" si="127"/>
        <v>Prime Machines 524</v>
      </c>
      <c r="AI821" t="str">
        <f t="shared" si="128"/>
        <v>Standard Class</v>
      </c>
      <c r="AJ821" s="3" t="str">
        <f t="shared" si="129"/>
        <v>Invalid</v>
      </c>
      <c r="AK821" t="str">
        <f t="shared" si="130"/>
        <v>invalid date</v>
      </c>
    </row>
    <row r="822" spans="1:37">
      <c r="A822" t="s">
        <v>3763</v>
      </c>
      <c r="B822" t="s">
        <v>3764</v>
      </c>
      <c r="C822" t="s">
        <v>3765</v>
      </c>
      <c r="D822" t="s">
        <v>3766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3767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  <c r="W822" t="s">
        <v>3763</v>
      </c>
      <c r="X822" t="str">
        <v>06-02-25</v>
      </c>
      <c r="Y822" t="str">
        <v>10-02-25</v>
      </c>
      <c r="Z822" t="s">
        <v>3766</v>
      </c>
      <c r="AA822" t="str">
        <v>Ananya Rao</v>
      </c>
      <c r="AB822" t="str">
        <f t="shared" si="121"/>
        <v>Home Office</v>
      </c>
      <c r="AC822" t="str">
        <f t="shared" si="122"/>
        <v>North</v>
      </c>
      <c r="AD822" t="str">
        <f t="shared" si="123"/>
        <v>Uttar Pradesh</v>
      </c>
      <c r="AE822" t="str">
        <f t="shared" si="124"/>
        <v>Noida</v>
      </c>
      <c r="AF822" t="str">
        <f t="shared" si="125"/>
        <v>Furniture</v>
      </c>
      <c r="AG822" t="str">
        <f t="shared" si="126"/>
        <v>Bookcases</v>
      </c>
      <c r="AH822" t="str">
        <f t="shared" si="127"/>
        <v>Classic Bookcases 882</v>
      </c>
      <c r="AI822" t="str">
        <f t="shared" si="128"/>
        <v>Standard Class</v>
      </c>
      <c r="AJ822" s="3" t="str">
        <f t="shared" si="129"/>
        <v>anomaly</v>
      </c>
      <c r="AK822">
        <f t="shared" si="130"/>
        <v>4</v>
      </c>
    </row>
    <row r="823" spans="1:37">
      <c r="A823" t="s">
        <v>3768</v>
      </c>
      <c r="B823" t="s">
        <v>3769</v>
      </c>
      <c r="C823" t="s">
        <v>3770</v>
      </c>
      <c r="D823" t="s">
        <v>3771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3772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  <c r="W823" t="s">
        <v>3768</v>
      </c>
      <c r="X823" t="str">
        <v>03-07-24</v>
      </c>
      <c r="Y823" t="str">
        <v>06-07-24</v>
      </c>
      <c r="Z823" t="s">
        <v>3771</v>
      </c>
      <c r="AA823" t="str">
        <v>Aarav Sharma</v>
      </c>
      <c r="AB823" t="str">
        <f t="shared" si="121"/>
        <v>Corporate</v>
      </c>
      <c r="AC823" t="str">
        <f t="shared" si="122"/>
        <v>South</v>
      </c>
      <c r="AD823" t="str">
        <f t="shared" si="123"/>
        <v>Karnataka</v>
      </c>
      <c r="AE823" t="str">
        <f t="shared" si="124"/>
        <v>Bengaluru</v>
      </c>
      <c r="AF823" t="str">
        <f t="shared" si="125"/>
        <v>Technology</v>
      </c>
      <c r="AG823" t="str">
        <f t="shared" si="126"/>
        <v>Accessories</v>
      </c>
      <c r="AH823" t="str">
        <f t="shared" si="127"/>
        <v>Classic Accessories 471</v>
      </c>
      <c r="AI823" t="str">
        <f t="shared" si="128"/>
        <v>First Class</v>
      </c>
      <c r="AJ823" s="3" t="str">
        <f t="shared" si="129"/>
        <v>anomaly</v>
      </c>
      <c r="AK823">
        <f t="shared" si="130"/>
        <v>3</v>
      </c>
    </row>
    <row r="824" spans="1:37">
      <c r="A824" t="s">
        <v>3773</v>
      </c>
      <c r="B824" t="s">
        <v>3774</v>
      </c>
      <c r="C824" t="s">
        <v>3775</v>
      </c>
      <c r="D824" t="s">
        <v>3776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3777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  <c r="W824" t="s">
        <v>3773</v>
      </c>
      <c r="X824" t="str">
        <v>10-12-24</v>
      </c>
      <c r="Y824" t="str">
        <v>08-10-24</v>
      </c>
      <c r="Z824" t="s">
        <v>3776</v>
      </c>
      <c r="AA824" t="str">
        <v>Mira Das</v>
      </c>
      <c r="AB824" t="str">
        <f t="shared" si="121"/>
        <v>Corporate</v>
      </c>
      <c r="AC824" t="str">
        <f t="shared" si="122"/>
        <v>East</v>
      </c>
      <c r="AD824" t="str">
        <f t="shared" si="123"/>
        <v>Assam</v>
      </c>
      <c r="AE824" t="str">
        <f t="shared" si="124"/>
        <v>Guwahati</v>
      </c>
      <c r="AF824" t="str">
        <f t="shared" si="125"/>
        <v>Furniture</v>
      </c>
      <c r="AG824" t="str">
        <f t="shared" si="126"/>
        <v>Furnishings</v>
      </c>
      <c r="AH824" t="str">
        <f t="shared" si="127"/>
        <v>Smart Furnishings 175</v>
      </c>
      <c r="AI824" t="str">
        <f t="shared" si="128"/>
        <v>Second Class</v>
      </c>
      <c r="AJ824" s="3" t="str">
        <f t="shared" si="129"/>
        <v xml:space="preserve">  </v>
      </c>
      <c r="AK824">
        <f t="shared" si="130"/>
        <v>-63</v>
      </c>
    </row>
    <row r="825" spans="1:37">
      <c r="A825" t="s">
        <v>3778</v>
      </c>
      <c r="B825" t="s">
        <v>3779</v>
      </c>
      <c r="C825" t="s">
        <v>2176</v>
      </c>
      <c r="D825" t="s">
        <v>3780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3781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  <c r="W825" t="s">
        <v>3778</v>
      </c>
      <c r="X825" t="str">
        <v>06-01-25</v>
      </c>
      <c r="Y825" t="str">
        <v>12-01-25</v>
      </c>
      <c r="Z825" t="s">
        <v>3780</v>
      </c>
      <c r="AA825" t="str">
        <v>Mira Das</v>
      </c>
      <c r="AB825" t="str">
        <f t="shared" si="121"/>
        <v>Home Office</v>
      </c>
      <c r="AC825" t="str">
        <f t="shared" si="122"/>
        <v>West</v>
      </c>
      <c r="AD825" t="str">
        <f t="shared" si="123"/>
        <v>Goa</v>
      </c>
      <c r="AE825" t="str">
        <f t="shared" si="124"/>
        <v>Panaji</v>
      </c>
      <c r="AF825" t="str">
        <f t="shared" si="125"/>
        <v>Office Supplies</v>
      </c>
      <c r="AG825" t="str">
        <f t="shared" si="126"/>
        <v>Paper</v>
      </c>
      <c r="AH825" t="str">
        <f t="shared" si="127"/>
        <v>Basic Paper 899</v>
      </c>
      <c r="AI825" t="str">
        <f t="shared" si="128"/>
        <v>Same Day</v>
      </c>
      <c r="AJ825" s="3" t="str">
        <f t="shared" si="129"/>
        <v>anomaly</v>
      </c>
      <c r="AK825">
        <f t="shared" si="130"/>
        <v>6</v>
      </c>
    </row>
    <row r="826" spans="1:37">
      <c r="A826" t="s">
        <v>3782</v>
      </c>
      <c r="B826" t="s">
        <v>3783</v>
      </c>
      <c r="C826" t="s">
        <v>2113</v>
      </c>
      <c r="D826" t="s">
        <v>3784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3785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  <c r="W826" t="s">
        <v>3782</v>
      </c>
      <c r="X826" t="str">
        <v>21-03-25</v>
      </c>
      <c r="Y826" t="str">
        <v>22-03-25</v>
      </c>
      <c r="Z826" t="s">
        <v>3784</v>
      </c>
      <c r="AA826" t="str">
        <v>Priya Menon</v>
      </c>
      <c r="AB826" t="str">
        <f t="shared" si="121"/>
        <v>Consumer</v>
      </c>
      <c r="AC826" t="str">
        <f t="shared" si="122"/>
        <v>West</v>
      </c>
      <c r="AD826" t="str">
        <f t="shared" si="123"/>
        <v>Goa</v>
      </c>
      <c r="AE826" t="str">
        <f t="shared" si="124"/>
        <v>Panaji</v>
      </c>
      <c r="AF826" t="str">
        <f t="shared" si="125"/>
        <v>Office Supplies</v>
      </c>
      <c r="AG826" t="str">
        <f t="shared" si="126"/>
        <v>Paper</v>
      </c>
      <c r="AH826" t="str">
        <f t="shared" si="127"/>
        <v>Pro Paper 267</v>
      </c>
      <c r="AI826" t="str">
        <f t="shared" si="128"/>
        <v>First Class</v>
      </c>
      <c r="AJ826" s="3" t="str">
        <f t="shared" si="129"/>
        <v>anomaly</v>
      </c>
      <c r="AK826">
        <f t="shared" si="130"/>
        <v>1</v>
      </c>
    </row>
    <row r="827" spans="1:37">
      <c r="A827" t="s">
        <v>3786</v>
      </c>
      <c r="B827" t="s">
        <v>3787</v>
      </c>
      <c r="C827" t="s">
        <v>3788</v>
      </c>
      <c r="D827" t="s">
        <v>3789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3790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  <c r="W827" t="s">
        <v>3786</v>
      </c>
      <c r="X827" t="str">
        <v>16-04-25</v>
      </c>
      <c r="Y827" t="str">
        <v>17-04-25</v>
      </c>
      <c r="Z827" t="s">
        <v>3789</v>
      </c>
      <c r="AA827" t="str">
        <v>Vikram Iyer</v>
      </c>
      <c r="AB827" t="str">
        <f t="shared" si="121"/>
        <v>Small Business</v>
      </c>
      <c r="AC827" t="str">
        <f t="shared" si="122"/>
        <v>North</v>
      </c>
      <c r="AD827" t="str">
        <f t="shared" si="123"/>
        <v>Uttar Pradesh</v>
      </c>
      <c r="AE827" t="str">
        <f t="shared" si="124"/>
        <v>Noida</v>
      </c>
      <c r="AF827" t="str">
        <f t="shared" si="125"/>
        <v>Technology</v>
      </c>
      <c r="AG827" t="str">
        <f t="shared" si="126"/>
        <v>Machines</v>
      </c>
      <c r="AH827" t="str">
        <f t="shared" si="127"/>
        <v>Basic Machines 832</v>
      </c>
      <c r="AI827" t="str">
        <f t="shared" si="128"/>
        <v>First Class</v>
      </c>
      <c r="AJ827" s="3" t="str">
        <f t="shared" si="129"/>
        <v>anomaly</v>
      </c>
      <c r="AK827">
        <f t="shared" si="130"/>
        <v>1</v>
      </c>
    </row>
    <row r="828" spans="1:37">
      <c r="A828" t="s">
        <v>3791</v>
      </c>
      <c r="B828" t="s">
        <v>3101</v>
      </c>
      <c r="C828" t="s">
        <v>3792</v>
      </c>
      <c r="D828" t="s">
        <v>3793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3794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  <c r="W828" t="s">
        <v>3791</v>
      </c>
      <c r="X828" t="str">
        <v>10-08-25</v>
      </c>
      <c r="Y828" t="str">
        <v>14-08-25</v>
      </c>
      <c r="Z828" t="s">
        <v>3793</v>
      </c>
      <c r="AA828" t="str">
        <v>Aditi Sen</v>
      </c>
      <c r="AB828" t="str">
        <f t="shared" si="121"/>
        <v>Consumer</v>
      </c>
      <c r="AC828" t="str">
        <f t="shared" si="122"/>
        <v>West</v>
      </c>
      <c r="AD828" t="str">
        <f t="shared" si="123"/>
        <v>Rajasthan</v>
      </c>
      <c r="AE828" t="str">
        <f t="shared" si="124"/>
        <v>Udaipur</v>
      </c>
      <c r="AF828" t="str">
        <f t="shared" si="125"/>
        <v>Technology</v>
      </c>
      <c r="AG828" t="str">
        <f t="shared" si="126"/>
        <v>Accessories</v>
      </c>
      <c r="AH828" t="str">
        <f t="shared" si="127"/>
        <v>Elite Accessories 790</v>
      </c>
      <c r="AI828" t="str">
        <f t="shared" si="128"/>
        <v>Standard Class</v>
      </c>
      <c r="AJ828" s="3" t="str">
        <f t="shared" si="129"/>
        <v>anomaly</v>
      </c>
      <c r="AK828">
        <f t="shared" si="130"/>
        <v>4</v>
      </c>
    </row>
    <row r="829" spans="1:37">
      <c r="A829" t="s">
        <v>3795</v>
      </c>
      <c r="B829" t="s">
        <v>3796</v>
      </c>
      <c r="C829" t="s">
        <v>1748</v>
      </c>
      <c r="D829" t="s">
        <v>3797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3798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  <c r="W829" t="s">
        <v>3795</v>
      </c>
      <c r="X829" t="str">
        <v>24-11-24</v>
      </c>
      <c r="Y829" t="str">
        <v>01-12-24</v>
      </c>
      <c r="Z829" t="s">
        <v>3797</v>
      </c>
      <c r="AA829" t="str">
        <v>Priya Menon</v>
      </c>
      <c r="AB829" t="str">
        <f t="shared" si="121"/>
        <v>Home Office</v>
      </c>
      <c r="AC829" t="str">
        <f t="shared" si="122"/>
        <v>South</v>
      </c>
      <c r="AD829" t="str">
        <f t="shared" si="123"/>
        <v>Tamil Nadu</v>
      </c>
      <c r="AE829" t="str">
        <f t="shared" si="124"/>
        <v>Chennai</v>
      </c>
      <c r="AF829" t="str">
        <f t="shared" si="125"/>
        <v>Office Supplies</v>
      </c>
      <c r="AG829" t="str">
        <f t="shared" si="126"/>
        <v>Paper</v>
      </c>
      <c r="AH829" t="str">
        <f t="shared" si="127"/>
        <v>Basic Paper 707</v>
      </c>
      <c r="AI829" t="str">
        <f t="shared" si="128"/>
        <v>Same Day</v>
      </c>
      <c r="AJ829" s="3" t="str">
        <f t="shared" si="129"/>
        <v xml:space="preserve">  </v>
      </c>
      <c r="AK829">
        <f t="shared" si="130"/>
        <v>7</v>
      </c>
    </row>
    <row r="830" spans="1:37">
      <c r="A830" t="s">
        <v>3799</v>
      </c>
      <c r="B830" t="s">
        <v>3800</v>
      </c>
      <c r="C830" t="s">
        <v>3801</v>
      </c>
      <c r="D830" t="s">
        <v>3802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3803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  <c r="W830" t="s">
        <v>3799</v>
      </c>
      <c r="X830" t="str">
        <v>10-10-25</v>
      </c>
      <c r="Y830" t="str">
        <v>11-10-25</v>
      </c>
      <c r="Z830" t="s">
        <v>3802</v>
      </c>
      <c r="AA830" t="str">
        <v>Karan Malhotra</v>
      </c>
      <c r="AB830" t="str">
        <f t="shared" si="121"/>
        <v>Corporate</v>
      </c>
      <c r="AC830" t="str">
        <f t="shared" si="122"/>
        <v>East</v>
      </c>
      <c r="AD830" t="str">
        <f t="shared" si="123"/>
        <v>Odisha</v>
      </c>
      <c r="AE830" t="str">
        <f t="shared" si="124"/>
        <v>Bhubaneswar</v>
      </c>
      <c r="AF830" t="str">
        <f t="shared" si="125"/>
        <v>Furniture</v>
      </c>
      <c r="AG830" t="str">
        <f t="shared" si="126"/>
        <v>Chairs</v>
      </c>
      <c r="AH830" t="str">
        <f t="shared" si="127"/>
        <v>Elite Chairs 979</v>
      </c>
      <c r="AI830" t="str">
        <f t="shared" si="128"/>
        <v>Second Class</v>
      </c>
      <c r="AJ830" s="3" t="str">
        <f t="shared" si="129"/>
        <v>anomaly</v>
      </c>
      <c r="AK830">
        <f t="shared" si="130"/>
        <v>1</v>
      </c>
    </row>
    <row r="831" spans="1:37">
      <c r="A831" t="s">
        <v>3804</v>
      </c>
      <c r="B831" t="s">
        <v>3805</v>
      </c>
      <c r="C831" t="s">
        <v>1472</v>
      </c>
      <c r="D831" t="s">
        <v>3806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3807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  <c r="W831" t="s">
        <v>3804</v>
      </c>
      <c r="X831" t="str">
        <v>invalid date</v>
      </c>
      <c r="Y831" t="str">
        <v>28-02-24</v>
      </c>
      <c r="Z831" t="s">
        <v>3806</v>
      </c>
      <c r="AA831" t="str">
        <v>Aditi Sen</v>
      </c>
      <c r="AB831" t="str">
        <f t="shared" si="121"/>
        <v>Small Business</v>
      </c>
      <c r="AC831" t="str">
        <f t="shared" si="122"/>
        <v>West</v>
      </c>
      <c r="AD831" t="str">
        <f t="shared" si="123"/>
        <v>Goa</v>
      </c>
      <c r="AE831" t="str">
        <f t="shared" si="124"/>
        <v>Panaji</v>
      </c>
      <c r="AF831" t="str">
        <f t="shared" si="125"/>
        <v>Furniture</v>
      </c>
      <c r="AG831" t="str">
        <f t="shared" si="126"/>
        <v>Furnishings</v>
      </c>
      <c r="AH831" t="str">
        <f t="shared" si="127"/>
        <v>Pro Furnishings 192</v>
      </c>
      <c r="AI831" t="str">
        <f t="shared" si="128"/>
        <v>Second Class</v>
      </c>
      <c r="AJ831" s="3" t="str">
        <f t="shared" si="129"/>
        <v>Invalid</v>
      </c>
      <c r="AK831" t="str">
        <f t="shared" si="130"/>
        <v>invalid date</v>
      </c>
    </row>
    <row r="832" spans="1:37">
      <c r="A832" t="s">
        <v>3808</v>
      </c>
      <c r="B832" t="s">
        <v>2906</v>
      </c>
      <c r="C832" t="s">
        <v>719</v>
      </c>
      <c r="D832" t="s">
        <v>3809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3810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  <c r="W832" t="s">
        <v>3808</v>
      </c>
      <c r="X832" t="str">
        <v>15-07-25</v>
      </c>
      <c r="Y832" t="str">
        <v>18-07-25</v>
      </c>
      <c r="Z832" t="s">
        <v>3809</v>
      </c>
      <c r="AA832" t="str">
        <v>Aditi Sen</v>
      </c>
      <c r="AB832" t="str">
        <f t="shared" si="121"/>
        <v>Small Business</v>
      </c>
      <c r="AC832" s="5" t="s">
        <v>4116</v>
      </c>
      <c r="AD832" t="str">
        <f t="shared" si="123"/>
        <v>Tamil Nadu</v>
      </c>
      <c r="AE832" t="str">
        <f t="shared" si="124"/>
        <v>Chennai</v>
      </c>
      <c r="AF832" t="str">
        <f t="shared" si="125"/>
        <v>Technology</v>
      </c>
      <c r="AG832" t="str">
        <f t="shared" si="126"/>
        <v>Machines</v>
      </c>
      <c r="AH832" t="str">
        <f t="shared" si="127"/>
        <v>Smart Machines 951</v>
      </c>
      <c r="AI832" t="str">
        <f t="shared" si="128"/>
        <v>First Class</v>
      </c>
      <c r="AJ832" s="3" t="str">
        <f t="shared" si="129"/>
        <v>anomaly</v>
      </c>
      <c r="AK832">
        <f t="shared" si="130"/>
        <v>3</v>
      </c>
    </row>
    <row r="833" spans="1:37">
      <c r="A833" t="s">
        <v>3811</v>
      </c>
      <c r="B833" t="s">
        <v>469</v>
      </c>
      <c r="C833" t="s">
        <v>3253</v>
      </c>
      <c r="D833" t="s">
        <v>3812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3813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  <c r="W833" t="s">
        <v>3811</v>
      </c>
      <c r="X833" t="str">
        <v>04-03-25</v>
      </c>
      <c r="Y833" t="str">
        <v>03-04-25</v>
      </c>
      <c r="Z833" t="s">
        <v>3812</v>
      </c>
      <c r="AA833" t="str">
        <v>Diya Patel</v>
      </c>
      <c r="AB833" t="str">
        <f t="shared" si="121"/>
        <v>Home Office</v>
      </c>
      <c r="AC833" s="5" t="s">
        <v>4116</v>
      </c>
      <c r="AD833" t="str">
        <f t="shared" si="123"/>
        <v>Haryana</v>
      </c>
      <c r="AE833" t="str">
        <f t="shared" si="124"/>
        <v>Gurugram</v>
      </c>
      <c r="AF833" t="str">
        <f t="shared" si="125"/>
        <v>Furniture</v>
      </c>
      <c r="AG833" t="str">
        <f t="shared" si="126"/>
        <v>Chairs</v>
      </c>
      <c r="AH833" t="str">
        <f t="shared" si="127"/>
        <v>Smart Chairs 794</v>
      </c>
      <c r="AI833" t="str">
        <f t="shared" si="128"/>
        <v>First Class</v>
      </c>
      <c r="AJ833" s="3" t="str">
        <f t="shared" si="129"/>
        <v xml:space="preserve">  </v>
      </c>
      <c r="AK833">
        <f t="shared" si="130"/>
        <v>30</v>
      </c>
    </row>
    <row r="834" spans="1:37">
      <c r="A834" t="s">
        <v>3814</v>
      </c>
      <c r="B834" t="s">
        <v>3815</v>
      </c>
      <c r="C834" t="s">
        <v>3816</v>
      </c>
      <c r="D834" t="s">
        <v>3817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3818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  <c r="W834" t="s">
        <v>3814</v>
      </c>
      <c r="X834" t="str">
        <v>26-05-25</v>
      </c>
      <c r="Y834" t="str">
        <v>28-05-25</v>
      </c>
      <c r="Z834" t="s">
        <v>3817</v>
      </c>
      <c r="AA834" t="str">
        <v>Kabir Singh</v>
      </c>
      <c r="AB834" t="str">
        <f t="shared" si="121"/>
        <v>Small Business</v>
      </c>
      <c r="AC834" t="str">
        <f t="shared" si="122"/>
        <v>South</v>
      </c>
      <c r="AD834" t="str">
        <f t="shared" si="123"/>
        <v>Andhra Pradesh</v>
      </c>
      <c r="AE834" t="str">
        <f t="shared" si="124"/>
        <v>Vijayawada</v>
      </c>
      <c r="AF834" t="str">
        <f t="shared" si="125"/>
        <v>Technology</v>
      </c>
      <c r="AG834" t="str">
        <f t="shared" si="126"/>
        <v>Phones</v>
      </c>
      <c r="AH834" t="str">
        <f t="shared" si="127"/>
        <v>Max Phones 919</v>
      </c>
      <c r="AI834" t="str">
        <f t="shared" si="128"/>
        <v>Second Class</v>
      </c>
      <c r="AJ834" s="3" t="str">
        <f t="shared" si="129"/>
        <v>anomaly</v>
      </c>
      <c r="AK834">
        <f t="shared" si="130"/>
        <v>2</v>
      </c>
    </row>
    <row r="835" spans="1:37">
      <c r="A835" t="s">
        <v>3819</v>
      </c>
      <c r="B835" t="s">
        <v>3820</v>
      </c>
      <c r="C835" t="s">
        <v>3821</v>
      </c>
      <c r="D835" t="s">
        <v>3822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3823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  <c r="W835" t="s">
        <v>3819</v>
      </c>
      <c r="X835" t="str">
        <v>04-06-24</v>
      </c>
      <c r="Y835" t="str">
        <v>06-04-24</v>
      </c>
      <c r="Z835" t="s">
        <v>3822</v>
      </c>
      <c r="AA835" t="str">
        <v>Rahul Verma</v>
      </c>
      <c r="AB835" t="str">
        <f t="shared" ref="AB835:AB898" si="131">TRIM(PROPER(F:F))</f>
        <v>Home Office</v>
      </c>
      <c r="AC835" t="str">
        <f t="shared" ref="AC835:AC898" si="132">TRIM(PROPER(G:G))</f>
        <v>East</v>
      </c>
      <c r="AD835" t="str">
        <f t="shared" ref="AD835:AD898" si="133">TRIM(PROPER(H:H))</f>
        <v>West Bengal</v>
      </c>
      <c r="AE835" t="str">
        <f t="shared" ref="AE835:AE898" si="134">TRIM(PROPER(I:I))</f>
        <v>Kolkata</v>
      </c>
      <c r="AF835" t="str">
        <f t="shared" ref="AF835:AF898" si="135">TRIM(PROPER(J:J))</f>
        <v>Furniture</v>
      </c>
      <c r="AG835" t="str">
        <f t="shared" ref="AG835:AG898" si="136">TRIM(PROPER(K:K))</f>
        <v>Bookcases</v>
      </c>
      <c r="AH835" t="str">
        <f t="shared" ref="AH835:AH898" si="137">TRIM(PROPER(L:L))</f>
        <v>Basic Bookcases 499</v>
      </c>
      <c r="AI835" t="str">
        <f t="shared" ref="AI835:AI898" si="138">TRIM(PROPER(M:M))</f>
        <v>First Class</v>
      </c>
      <c r="AJ835" s="3" t="str">
        <f t="shared" ref="AJ835:AJ898" si="139">IF(OR(X:X="Invalid Date",Y:Y="Invalid Date"),"Invalid",(IF(X:X&lt;Y:Y,"anomaly", "  ")))</f>
        <v>anomaly</v>
      </c>
      <c r="AK835">
        <f t="shared" ref="AK835:AK898" si="140">IFERROR(Y835-X835, "invalid date")</f>
        <v>-59</v>
      </c>
    </row>
    <row r="836" spans="1:37">
      <c r="A836" t="s">
        <v>3824</v>
      </c>
      <c r="B836" t="s">
        <v>233</v>
      </c>
      <c r="C836" t="s">
        <v>3825</v>
      </c>
      <c r="D836" t="s">
        <v>3826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3827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  <c r="W836" t="s">
        <v>3824</v>
      </c>
      <c r="X836" t="str">
        <v>18-10-24</v>
      </c>
      <c r="Y836" t="str">
        <v>22-10-24</v>
      </c>
      <c r="Z836" t="s">
        <v>3826</v>
      </c>
      <c r="AA836" t="str">
        <v>Aarav Sharma</v>
      </c>
      <c r="AB836" t="str">
        <f t="shared" si="131"/>
        <v>Home Office</v>
      </c>
      <c r="AC836" t="str">
        <f t="shared" si="132"/>
        <v>South</v>
      </c>
      <c r="AD836" t="str">
        <f t="shared" si="133"/>
        <v>Telangana</v>
      </c>
      <c r="AE836" t="str">
        <f t="shared" si="134"/>
        <v>Hyderabad</v>
      </c>
      <c r="AF836" t="str">
        <f t="shared" si="135"/>
        <v>Office Supplies</v>
      </c>
      <c r="AG836" t="str">
        <f t="shared" si="136"/>
        <v>Art</v>
      </c>
      <c r="AH836" t="str">
        <f t="shared" si="137"/>
        <v>Basic Art 143</v>
      </c>
      <c r="AI836" t="str">
        <f t="shared" si="138"/>
        <v>First Class</v>
      </c>
      <c r="AJ836" s="3" t="str">
        <f t="shared" si="139"/>
        <v>anomaly</v>
      </c>
      <c r="AK836">
        <f t="shared" si="140"/>
        <v>4</v>
      </c>
    </row>
    <row r="837" spans="1:37">
      <c r="A837" t="s">
        <v>3828</v>
      </c>
      <c r="B837" t="s">
        <v>2748</v>
      </c>
      <c r="C837" t="s">
        <v>954</v>
      </c>
      <c r="D837" t="s">
        <v>3829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3830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  <c r="W837" t="s">
        <v>3828</v>
      </c>
      <c r="X837" t="str">
        <v>invalid date</v>
      </c>
      <c r="Y837" t="str">
        <v>04-10-25</v>
      </c>
      <c r="Z837" t="s">
        <v>3829</v>
      </c>
      <c r="AA837" t="str">
        <v>Priya Menon</v>
      </c>
      <c r="AB837" t="str">
        <f t="shared" si="131"/>
        <v>Small Business</v>
      </c>
      <c r="AC837" t="str">
        <f t="shared" si="132"/>
        <v>East</v>
      </c>
      <c r="AD837" t="str">
        <f t="shared" si="133"/>
        <v>Assam</v>
      </c>
      <c r="AE837" t="str">
        <f t="shared" si="134"/>
        <v>Guwahati</v>
      </c>
      <c r="AF837" t="str">
        <f t="shared" si="135"/>
        <v>Technology</v>
      </c>
      <c r="AG837" t="str">
        <f t="shared" si="136"/>
        <v>Phones</v>
      </c>
      <c r="AH837" t="str">
        <f t="shared" si="137"/>
        <v>Prime Phones 338</v>
      </c>
      <c r="AI837" t="str">
        <f t="shared" si="138"/>
        <v>Second Class</v>
      </c>
      <c r="AJ837" s="3" t="str">
        <f t="shared" si="139"/>
        <v>Invalid</v>
      </c>
      <c r="AK837" t="str">
        <f t="shared" si="140"/>
        <v>invalid date</v>
      </c>
    </row>
    <row r="838" spans="1:37">
      <c r="A838" t="s">
        <v>3831</v>
      </c>
      <c r="B838" t="s">
        <v>2460</v>
      </c>
      <c r="C838" t="s">
        <v>3832</v>
      </c>
      <c r="D838" t="s">
        <v>3833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3834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  <c r="W838" t="s">
        <v>3831</v>
      </c>
      <c r="X838" t="str">
        <v>15-12-24</v>
      </c>
      <c r="Y838" t="str">
        <v>18-12-24</v>
      </c>
      <c r="Z838" t="s">
        <v>3833</v>
      </c>
      <c r="AA838" t="str">
        <v>Isha Nair</v>
      </c>
      <c r="AB838" t="str">
        <f t="shared" si="131"/>
        <v>Small Business</v>
      </c>
      <c r="AC838" t="str">
        <f t="shared" si="132"/>
        <v>North</v>
      </c>
      <c r="AD838" t="str">
        <f t="shared" si="133"/>
        <v>Rajasthan</v>
      </c>
      <c r="AE838" t="str">
        <f t="shared" si="134"/>
        <v>Jaipur</v>
      </c>
      <c r="AF838" t="str">
        <f t="shared" si="135"/>
        <v>Office Supplies</v>
      </c>
      <c r="AG838" t="str">
        <f t="shared" si="136"/>
        <v>Labels</v>
      </c>
      <c r="AH838" t="str">
        <f t="shared" si="137"/>
        <v>Smart Labels 814</v>
      </c>
      <c r="AI838" t="str">
        <f t="shared" si="138"/>
        <v>Second Class</v>
      </c>
      <c r="AJ838" s="3" t="str">
        <f t="shared" si="139"/>
        <v>anomaly</v>
      </c>
      <c r="AK838">
        <f t="shared" si="140"/>
        <v>3</v>
      </c>
    </row>
    <row r="839" spans="1:37">
      <c r="A839" t="s">
        <v>3835</v>
      </c>
      <c r="B839" t="s">
        <v>498</v>
      </c>
      <c r="C839" t="s">
        <v>3836</v>
      </c>
      <c r="D839" t="s">
        <v>3837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3838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  <c r="W839" t="s">
        <v>3835</v>
      </c>
      <c r="X839" t="str">
        <v>27-09-25</v>
      </c>
      <c r="Y839" t="str">
        <v>invalid date</v>
      </c>
      <c r="Z839" t="s">
        <v>3837</v>
      </c>
      <c r="AA839" t="str">
        <v>Karan Malhotra</v>
      </c>
      <c r="AB839" t="str">
        <f t="shared" si="131"/>
        <v>Home Office</v>
      </c>
      <c r="AC839" t="str">
        <f t="shared" si="132"/>
        <v>West</v>
      </c>
      <c r="AD839" t="str">
        <f t="shared" si="133"/>
        <v>Maharashtra</v>
      </c>
      <c r="AE839" t="str">
        <f t="shared" si="134"/>
        <v>Mumbai</v>
      </c>
      <c r="AF839" t="str">
        <f t="shared" si="135"/>
        <v>Office Supplies</v>
      </c>
      <c r="AG839" t="str">
        <f t="shared" si="136"/>
        <v>Paper</v>
      </c>
      <c r="AH839" t="str">
        <f t="shared" si="137"/>
        <v>Prime Paper 812</v>
      </c>
      <c r="AI839" t="str">
        <f t="shared" si="138"/>
        <v>First Class</v>
      </c>
      <c r="AJ839" s="3" t="str">
        <f t="shared" si="139"/>
        <v>Invalid</v>
      </c>
      <c r="AK839" t="str">
        <f t="shared" si="140"/>
        <v>invalid date</v>
      </c>
    </row>
    <row r="840" spans="1:37">
      <c r="A840" t="s">
        <v>3839</v>
      </c>
      <c r="B840" t="s">
        <v>469</v>
      </c>
      <c r="C840" t="s">
        <v>3840</v>
      </c>
      <c r="D840" t="s">
        <v>3841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3842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  <c r="W840" t="s">
        <v>3839</v>
      </c>
      <c r="X840" t="str">
        <v>04-03-25</v>
      </c>
      <c r="Y840" t="str">
        <v>07-04-25</v>
      </c>
      <c r="Z840" t="s">
        <v>3841</v>
      </c>
      <c r="AA840" t="str">
        <v>Ananya Rao</v>
      </c>
      <c r="AB840" t="str">
        <f t="shared" si="131"/>
        <v>Small Business</v>
      </c>
      <c r="AC840" t="str">
        <f t="shared" si="132"/>
        <v>West</v>
      </c>
      <c r="AD840" t="str">
        <f t="shared" si="133"/>
        <v>Goa</v>
      </c>
      <c r="AE840" t="str">
        <f t="shared" si="134"/>
        <v>Panaji</v>
      </c>
      <c r="AF840" t="str">
        <f t="shared" si="135"/>
        <v>Office Supplies</v>
      </c>
      <c r="AG840" t="str">
        <f t="shared" si="136"/>
        <v>Paper</v>
      </c>
      <c r="AH840" t="str">
        <f t="shared" si="137"/>
        <v>Pro Paper 355</v>
      </c>
      <c r="AI840" t="str">
        <f t="shared" si="138"/>
        <v>Same Day</v>
      </c>
      <c r="AJ840" s="3" t="str">
        <f t="shared" si="139"/>
        <v>anomaly</v>
      </c>
      <c r="AK840">
        <f t="shared" si="140"/>
        <v>34</v>
      </c>
    </row>
    <row r="841" spans="1:37">
      <c r="A841" t="s">
        <v>3843</v>
      </c>
      <c r="B841" t="s">
        <v>3844</v>
      </c>
      <c r="C841" t="s">
        <v>3845</v>
      </c>
      <c r="D841" t="s">
        <v>3846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3847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  <c r="W841" t="s">
        <v>3843</v>
      </c>
      <c r="X841" t="str">
        <v>invalid date</v>
      </c>
      <c r="Y841" t="str">
        <v>22-09-24</v>
      </c>
      <c r="Z841" t="s">
        <v>3846</v>
      </c>
      <c r="AA841" t="str">
        <v>Rohan Mehta</v>
      </c>
      <c r="AB841" t="str">
        <f t="shared" si="131"/>
        <v>Home Office</v>
      </c>
      <c r="AC841" t="str">
        <f t="shared" si="132"/>
        <v>East</v>
      </c>
      <c r="AD841" t="str">
        <f t="shared" si="133"/>
        <v>Odisha</v>
      </c>
      <c r="AE841" t="str">
        <f t="shared" si="134"/>
        <v>Bhubaneswar</v>
      </c>
      <c r="AF841" t="str">
        <f t="shared" si="135"/>
        <v>Technology</v>
      </c>
      <c r="AG841" t="str">
        <f t="shared" si="136"/>
        <v>Phones</v>
      </c>
      <c r="AH841" t="str">
        <f t="shared" si="137"/>
        <v>Basic Phones 398</v>
      </c>
      <c r="AI841" t="str">
        <f t="shared" si="138"/>
        <v>Standard Class</v>
      </c>
      <c r="AJ841" s="3" t="str">
        <f t="shared" si="139"/>
        <v>Invalid</v>
      </c>
      <c r="AK841" t="str">
        <f t="shared" si="140"/>
        <v>invalid date</v>
      </c>
    </row>
    <row r="842" spans="1:37">
      <c r="A842" t="s">
        <v>3848</v>
      </c>
      <c r="B842" t="s">
        <v>1896</v>
      </c>
      <c r="C842" t="s">
        <v>2195</v>
      </c>
      <c r="D842" t="s">
        <v>3849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3850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  <c r="W842" t="s">
        <v>3848</v>
      </c>
      <c r="X842" t="str">
        <v>19-09-25</v>
      </c>
      <c r="Y842" t="str">
        <v>19-09-25</v>
      </c>
      <c r="Z842" t="s">
        <v>3849</v>
      </c>
      <c r="AA842" t="str">
        <v>Neha Gupta</v>
      </c>
      <c r="AB842" t="str">
        <f t="shared" si="131"/>
        <v>Home Office</v>
      </c>
      <c r="AC842" t="str">
        <f t="shared" si="132"/>
        <v>North</v>
      </c>
      <c r="AD842" t="str">
        <f t="shared" si="133"/>
        <v>Delhi</v>
      </c>
      <c r="AE842" t="str">
        <f t="shared" si="134"/>
        <v>New Delhi</v>
      </c>
      <c r="AF842" t="str">
        <f t="shared" si="135"/>
        <v>Furniture</v>
      </c>
      <c r="AG842" t="str">
        <f t="shared" si="136"/>
        <v>Chairs</v>
      </c>
      <c r="AH842" t="str">
        <f t="shared" si="137"/>
        <v>Classic Chairs 204</v>
      </c>
      <c r="AI842" t="str">
        <f t="shared" si="138"/>
        <v>Same Day</v>
      </c>
      <c r="AJ842" s="3" t="str">
        <f t="shared" si="139"/>
        <v xml:space="preserve">  </v>
      </c>
      <c r="AK842">
        <f t="shared" si="140"/>
        <v>0</v>
      </c>
    </row>
    <row r="843" spans="1:37">
      <c r="A843" t="s">
        <v>3851</v>
      </c>
      <c r="B843" t="s">
        <v>3852</v>
      </c>
      <c r="C843" t="s">
        <v>3853</v>
      </c>
      <c r="D843" t="s">
        <v>3854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3855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  <c r="W843" t="s">
        <v>3851</v>
      </c>
      <c r="X843" t="str">
        <v>06-02-25</v>
      </c>
      <c r="Y843" t="str">
        <v>12-02-25</v>
      </c>
      <c r="Z843" t="s">
        <v>3854</v>
      </c>
      <c r="AA843" t="str">
        <v>Ananya Rao</v>
      </c>
      <c r="AB843" t="str">
        <f t="shared" si="131"/>
        <v>Small Business</v>
      </c>
      <c r="AC843" t="str">
        <f t="shared" si="132"/>
        <v>East</v>
      </c>
      <c r="AD843" t="str">
        <f t="shared" si="133"/>
        <v>Bihar</v>
      </c>
      <c r="AE843" t="str">
        <f t="shared" si="134"/>
        <v>Patna</v>
      </c>
      <c r="AF843" t="str">
        <f t="shared" si="135"/>
        <v>Office Supplies</v>
      </c>
      <c r="AG843" t="str">
        <f t="shared" si="136"/>
        <v>Art</v>
      </c>
      <c r="AH843" t="str">
        <f t="shared" si="137"/>
        <v>Max Art 339</v>
      </c>
      <c r="AI843" t="str">
        <f t="shared" si="138"/>
        <v>Standard Class</v>
      </c>
      <c r="AJ843" s="3" t="str">
        <f t="shared" si="139"/>
        <v>anomaly</v>
      </c>
      <c r="AK843">
        <f t="shared" si="140"/>
        <v>6</v>
      </c>
    </row>
    <row r="844" spans="1:37">
      <c r="A844" t="s">
        <v>3856</v>
      </c>
      <c r="B844" t="s">
        <v>3857</v>
      </c>
      <c r="C844" t="s">
        <v>3858</v>
      </c>
      <c r="D844" t="s">
        <v>3859</v>
      </c>
      <c r="E844" t="s">
        <v>3860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3861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  <c r="W844" t="s">
        <v>3856</v>
      </c>
      <c r="X844" t="str">
        <v>31-03-24</v>
      </c>
      <c r="Y844" t="str">
        <v>invalid date</v>
      </c>
      <c r="Z844" t="s">
        <v>3859</v>
      </c>
      <c r="AA844" t="str">
        <v>kabir singh</v>
      </c>
      <c r="AB844" t="str">
        <f t="shared" si="131"/>
        <v>Consumer</v>
      </c>
      <c r="AC844" t="str">
        <f t="shared" si="132"/>
        <v>North</v>
      </c>
      <c r="AD844" t="str">
        <f t="shared" si="133"/>
        <v>Haryana</v>
      </c>
      <c r="AE844" t="str">
        <f t="shared" si="134"/>
        <v>Gurugram</v>
      </c>
      <c r="AF844" t="str">
        <f t="shared" si="135"/>
        <v>Technology</v>
      </c>
      <c r="AG844" t="str">
        <f t="shared" si="136"/>
        <v>Machines</v>
      </c>
      <c r="AH844" t="str">
        <f t="shared" si="137"/>
        <v>Smart Machines 581</v>
      </c>
      <c r="AI844" t="str">
        <f t="shared" si="138"/>
        <v>First Class</v>
      </c>
      <c r="AJ844" s="3" t="str">
        <f t="shared" si="139"/>
        <v>Invalid</v>
      </c>
      <c r="AK844" t="str">
        <f t="shared" si="140"/>
        <v>invalid date</v>
      </c>
    </row>
    <row r="845" spans="1:37">
      <c r="A845" t="s">
        <v>3862</v>
      </c>
      <c r="B845" t="s">
        <v>2698</v>
      </c>
      <c r="C845" t="s">
        <v>3863</v>
      </c>
      <c r="D845" t="s">
        <v>3864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3865</v>
      </c>
      <c r="M845" t="s">
        <v>56</v>
      </c>
      <c r="N845">
        <v>9</v>
      </c>
      <c r="O845">
        <v>3989.52</v>
      </c>
      <c r="P845" s="5" t="s">
        <v>4117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  <c r="W845" t="s">
        <v>3862</v>
      </c>
      <c r="X845" t="str">
        <v>18-07-25</v>
      </c>
      <c r="Y845" t="str">
        <v>25-07-25</v>
      </c>
      <c r="Z845" t="s">
        <v>3864</v>
      </c>
      <c r="AA845" t="str">
        <v>Priya Menon</v>
      </c>
      <c r="AB845" t="str">
        <f t="shared" si="131"/>
        <v>Small Business</v>
      </c>
      <c r="AC845" t="str">
        <f t="shared" si="132"/>
        <v>North</v>
      </c>
      <c r="AD845" t="str">
        <f t="shared" si="133"/>
        <v>Uttar Pradesh</v>
      </c>
      <c r="AE845" t="str">
        <f t="shared" si="134"/>
        <v>Noida</v>
      </c>
      <c r="AF845" t="str">
        <f t="shared" si="135"/>
        <v>Technology</v>
      </c>
      <c r="AG845" t="str">
        <f t="shared" si="136"/>
        <v>Phones</v>
      </c>
      <c r="AH845" t="str">
        <f t="shared" si="137"/>
        <v>Prime Phones 482</v>
      </c>
      <c r="AI845" t="str">
        <f t="shared" si="138"/>
        <v>First Class</v>
      </c>
      <c r="AJ845" s="3" t="str">
        <f t="shared" si="139"/>
        <v>anomaly</v>
      </c>
      <c r="AK845">
        <f t="shared" si="140"/>
        <v>7</v>
      </c>
    </row>
    <row r="846" spans="1:37">
      <c r="A846" t="s">
        <v>3866</v>
      </c>
      <c r="B846" t="s">
        <v>3867</v>
      </c>
      <c r="C846" t="s">
        <v>3868</v>
      </c>
      <c r="D846" t="s">
        <v>3869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3870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  <c r="W846" t="s">
        <v>3866</v>
      </c>
      <c r="X846" t="str">
        <v>20-01-25</v>
      </c>
      <c r="Y846" t="str">
        <v>25-01-25</v>
      </c>
      <c r="Z846" t="s">
        <v>3869</v>
      </c>
      <c r="AA846" t="str">
        <v>Aditi Sen</v>
      </c>
      <c r="AB846" t="str">
        <f t="shared" si="131"/>
        <v>Home Office</v>
      </c>
      <c r="AC846" t="str">
        <f t="shared" si="132"/>
        <v>West</v>
      </c>
      <c r="AD846" t="str">
        <f t="shared" si="133"/>
        <v>Goa</v>
      </c>
      <c r="AE846" t="str">
        <f t="shared" si="134"/>
        <v>Panaji</v>
      </c>
      <c r="AF846" t="str">
        <f t="shared" si="135"/>
        <v>Office Supplies</v>
      </c>
      <c r="AG846" t="str">
        <f t="shared" si="136"/>
        <v>Art</v>
      </c>
      <c r="AH846" t="str">
        <f t="shared" si="137"/>
        <v>Pro Art 588</v>
      </c>
      <c r="AI846" t="str">
        <f t="shared" si="138"/>
        <v>First Class</v>
      </c>
      <c r="AJ846" s="3" t="str">
        <f t="shared" si="139"/>
        <v>anomaly</v>
      </c>
      <c r="AK846">
        <f t="shared" si="140"/>
        <v>5</v>
      </c>
    </row>
    <row r="847" spans="1:37">
      <c r="A847" t="s">
        <v>3871</v>
      </c>
      <c r="B847" t="s">
        <v>2770</v>
      </c>
      <c r="C847" t="s">
        <v>3872</v>
      </c>
      <c r="D847" t="s">
        <v>892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3873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  <c r="W847" t="s">
        <v>3871</v>
      </c>
      <c r="X847" t="str">
        <v>23-02-24</v>
      </c>
      <c r="Y847" t="str">
        <v>27-02-24</v>
      </c>
      <c r="Z847" t="s">
        <v>892</v>
      </c>
      <c r="AA847" t="str">
        <v>Karan Malhotra</v>
      </c>
      <c r="AB847" t="str">
        <f t="shared" si="131"/>
        <v>Consumer</v>
      </c>
      <c r="AC847" t="str">
        <f t="shared" si="132"/>
        <v>East</v>
      </c>
      <c r="AD847" t="str">
        <f t="shared" si="133"/>
        <v>Odisha</v>
      </c>
      <c r="AE847" t="str">
        <f t="shared" si="134"/>
        <v>Bhubaneswar</v>
      </c>
      <c r="AF847" t="str">
        <f t="shared" si="135"/>
        <v>Furniture</v>
      </c>
      <c r="AG847" t="str">
        <f t="shared" si="136"/>
        <v>Tables</v>
      </c>
      <c r="AH847" t="str">
        <f t="shared" si="137"/>
        <v>Eco Tables 792</v>
      </c>
      <c r="AI847" t="str">
        <f t="shared" si="138"/>
        <v>First Class</v>
      </c>
      <c r="AJ847" s="3" t="str">
        <f t="shared" si="139"/>
        <v>anomaly</v>
      </c>
      <c r="AK847">
        <f t="shared" si="140"/>
        <v>4</v>
      </c>
    </row>
    <row r="848" spans="1:37">
      <c r="A848" t="s">
        <v>3874</v>
      </c>
      <c r="B848" t="s">
        <v>3875</v>
      </c>
      <c r="C848" t="s">
        <v>3876</v>
      </c>
      <c r="D848" t="s">
        <v>3877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3878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  <c r="W848" t="s">
        <v>3874</v>
      </c>
      <c r="X848" t="str">
        <v>14-04-24</v>
      </c>
      <c r="Y848" t="str">
        <v>22-04-24</v>
      </c>
      <c r="Z848" t="s">
        <v>3877</v>
      </c>
      <c r="AA848" t="str">
        <v>Priya Menon</v>
      </c>
      <c r="AB848" t="str">
        <f t="shared" si="131"/>
        <v>Small Business</v>
      </c>
      <c r="AC848" t="str">
        <f t="shared" si="132"/>
        <v>West</v>
      </c>
      <c r="AD848" t="str">
        <f t="shared" si="133"/>
        <v>Gujarat</v>
      </c>
      <c r="AE848" t="str">
        <f t="shared" si="134"/>
        <v>Ahmedabad</v>
      </c>
      <c r="AF848" t="str">
        <f t="shared" si="135"/>
        <v>Furniture</v>
      </c>
      <c r="AG848" t="str">
        <f t="shared" si="136"/>
        <v>Bookcases</v>
      </c>
      <c r="AH848" t="str">
        <f t="shared" si="137"/>
        <v>Prime Bookcases 177</v>
      </c>
      <c r="AI848" t="str">
        <f t="shared" si="138"/>
        <v>Standard Class</v>
      </c>
      <c r="AJ848" s="3" t="str">
        <f t="shared" si="139"/>
        <v>anomaly</v>
      </c>
      <c r="AK848">
        <f t="shared" si="140"/>
        <v>8</v>
      </c>
    </row>
    <row r="849" spans="1:37">
      <c r="A849" t="s">
        <v>3879</v>
      </c>
      <c r="B849" t="s">
        <v>3880</v>
      </c>
      <c r="C849" t="s">
        <v>3881</v>
      </c>
      <c r="D849" t="s">
        <v>3882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3883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  <c r="W849" t="s">
        <v>3879</v>
      </c>
      <c r="X849" t="str">
        <v>20-05-25</v>
      </c>
      <c r="Y849" t="str">
        <v>invalid date</v>
      </c>
      <c r="Z849" t="s">
        <v>3882</v>
      </c>
      <c r="AA849" t="str">
        <v>Diya Patel</v>
      </c>
      <c r="AB849" t="str">
        <f t="shared" si="131"/>
        <v>Home Office</v>
      </c>
      <c r="AC849" t="str">
        <f t="shared" si="132"/>
        <v>East</v>
      </c>
      <c r="AD849" t="str">
        <f t="shared" si="133"/>
        <v>Odisha</v>
      </c>
      <c r="AE849" t="str">
        <f t="shared" si="134"/>
        <v>Bhubaneswar</v>
      </c>
      <c r="AF849" t="str">
        <f t="shared" si="135"/>
        <v>Furniture</v>
      </c>
      <c r="AG849" t="str">
        <f t="shared" si="136"/>
        <v>Tables</v>
      </c>
      <c r="AH849" t="str">
        <f t="shared" si="137"/>
        <v>Pro Tables 828</v>
      </c>
      <c r="AI849" t="str">
        <f t="shared" si="138"/>
        <v>Second Class</v>
      </c>
      <c r="AJ849" s="3" t="str">
        <f t="shared" si="139"/>
        <v>Invalid</v>
      </c>
      <c r="AK849" t="str">
        <f t="shared" si="140"/>
        <v>invalid date</v>
      </c>
    </row>
    <row r="850" spans="1:37">
      <c r="A850" t="s">
        <v>3884</v>
      </c>
      <c r="B850" t="s">
        <v>3143</v>
      </c>
      <c r="C850" t="s">
        <v>3885</v>
      </c>
      <c r="D850" t="s">
        <v>3886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3887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  <c r="W850" t="s">
        <v>3884</v>
      </c>
      <c r="X850" t="str">
        <v>27-05-25</v>
      </c>
      <c r="Y850" t="str">
        <v>29-05-25</v>
      </c>
      <c r="Z850" t="s">
        <v>3886</v>
      </c>
      <c r="AA850" t="str">
        <v>Rahul Verma</v>
      </c>
      <c r="AB850" t="str">
        <f t="shared" si="131"/>
        <v>Home Office</v>
      </c>
      <c r="AC850" t="str">
        <f t="shared" si="132"/>
        <v>South</v>
      </c>
      <c r="AD850" t="str">
        <f t="shared" si="133"/>
        <v>Tamil Nadu</v>
      </c>
      <c r="AE850" t="str">
        <f t="shared" si="134"/>
        <v>Chennai</v>
      </c>
      <c r="AF850" t="str">
        <f t="shared" si="135"/>
        <v>Furniture</v>
      </c>
      <c r="AG850" t="str">
        <f t="shared" si="136"/>
        <v>Furnishings</v>
      </c>
      <c r="AH850" t="str">
        <f t="shared" si="137"/>
        <v>Elite Furnishings 480</v>
      </c>
      <c r="AI850" t="str">
        <f t="shared" si="138"/>
        <v>Second Class</v>
      </c>
      <c r="AJ850" s="3" t="str">
        <f t="shared" si="139"/>
        <v>anomaly</v>
      </c>
      <c r="AK850">
        <f t="shared" si="140"/>
        <v>2</v>
      </c>
    </row>
    <row r="851" spans="1:37">
      <c r="A851" t="s">
        <v>3888</v>
      </c>
      <c r="B851" t="s">
        <v>3889</v>
      </c>
      <c r="C851" t="s">
        <v>1070</v>
      </c>
      <c r="D851" t="s">
        <v>3890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3891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  <c r="W851" t="s">
        <v>3888</v>
      </c>
      <c r="X851" t="str">
        <v>06-03-24</v>
      </c>
      <c r="Y851" t="str">
        <v>12-03-24</v>
      </c>
      <c r="Z851" t="s">
        <v>3890</v>
      </c>
      <c r="AA851" t="str">
        <v>Isha Nair</v>
      </c>
      <c r="AB851" t="str">
        <f t="shared" si="131"/>
        <v>Home Office</v>
      </c>
      <c r="AC851" t="str">
        <f t="shared" si="132"/>
        <v>West</v>
      </c>
      <c r="AD851" t="str">
        <f t="shared" si="133"/>
        <v>Gujarat</v>
      </c>
      <c r="AE851" t="str">
        <f t="shared" si="134"/>
        <v>Ahmedabad</v>
      </c>
      <c r="AF851" t="str">
        <f t="shared" si="135"/>
        <v>Furniture</v>
      </c>
      <c r="AG851" t="str">
        <f t="shared" si="136"/>
        <v>Bookcases</v>
      </c>
      <c r="AH851" t="str">
        <f t="shared" si="137"/>
        <v>Prime Bookcases 755</v>
      </c>
      <c r="AI851" t="str">
        <f t="shared" si="138"/>
        <v>Standard Class</v>
      </c>
      <c r="AJ851" s="3" t="str">
        <f t="shared" si="139"/>
        <v>anomaly</v>
      </c>
      <c r="AK851">
        <f t="shared" si="140"/>
        <v>6</v>
      </c>
    </row>
    <row r="852" spans="1:37">
      <c r="A852" t="s">
        <v>3892</v>
      </c>
      <c r="B852" t="s">
        <v>2102</v>
      </c>
      <c r="C852" t="s">
        <v>3769</v>
      </c>
      <c r="D852" t="s">
        <v>3893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3894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  <c r="W852" t="s">
        <v>3892</v>
      </c>
      <c r="X852" t="str">
        <v>30-06-24</v>
      </c>
      <c r="Y852" t="str">
        <v>03-07-24</v>
      </c>
      <c r="Z852" t="s">
        <v>3893</v>
      </c>
      <c r="AA852" t="str">
        <v>Priya Menon</v>
      </c>
      <c r="AB852" t="str">
        <f t="shared" si="131"/>
        <v>Home Office</v>
      </c>
      <c r="AC852" t="str">
        <f t="shared" si="132"/>
        <v>East</v>
      </c>
      <c r="AD852" t="str">
        <f t="shared" si="133"/>
        <v>West Bengal</v>
      </c>
      <c r="AE852" t="str">
        <f t="shared" si="134"/>
        <v>Kolkata</v>
      </c>
      <c r="AF852" t="str">
        <f t="shared" si="135"/>
        <v>Office Supplies</v>
      </c>
      <c r="AG852" t="str">
        <f t="shared" si="136"/>
        <v>Paper</v>
      </c>
      <c r="AH852" t="str">
        <f t="shared" si="137"/>
        <v>Prime Paper 317</v>
      </c>
      <c r="AI852" t="str">
        <f t="shared" si="138"/>
        <v>First Class</v>
      </c>
      <c r="AJ852" s="3" t="str">
        <f t="shared" si="139"/>
        <v xml:space="preserve">  </v>
      </c>
      <c r="AK852">
        <f t="shared" si="140"/>
        <v>3</v>
      </c>
    </row>
    <row r="853" spans="1:37">
      <c r="A853" t="s">
        <v>3895</v>
      </c>
      <c r="B853" t="s">
        <v>805</v>
      </c>
      <c r="C853" t="s">
        <v>3152</v>
      </c>
      <c r="D853" t="s">
        <v>3896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3897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  <c r="W853" t="s">
        <v>3895</v>
      </c>
      <c r="X853" t="str">
        <v>26-03-24</v>
      </c>
      <c r="Y853" t="str">
        <v>01-04-24</v>
      </c>
      <c r="Z853" t="s">
        <v>3896</v>
      </c>
      <c r="AA853" t="str">
        <v>Karan Malhotra</v>
      </c>
      <c r="AB853" t="str">
        <f t="shared" si="131"/>
        <v>Small Business</v>
      </c>
      <c r="AC853" t="str">
        <f t="shared" si="132"/>
        <v>West</v>
      </c>
      <c r="AD853" t="str">
        <f t="shared" si="133"/>
        <v>Gujarat</v>
      </c>
      <c r="AE853" t="str">
        <f t="shared" si="134"/>
        <v>Ahmedabad</v>
      </c>
      <c r="AF853" t="str">
        <f t="shared" si="135"/>
        <v>Technology</v>
      </c>
      <c r="AG853" t="str">
        <f t="shared" si="136"/>
        <v>Accessories</v>
      </c>
      <c r="AH853" t="str">
        <f t="shared" si="137"/>
        <v>Classic Accessories 933</v>
      </c>
      <c r="AI853" t="str">
        <f t="shared" si="138"/>
        <v>First Class</v>
      </c>
      <c r="AJ853" s="3" t="str">
        <f t="shared" si="139"/>
        <v xml:space="preserve">  </v>
      </c>
      <c r="AK853">
        <f t="shared" si="140"/>
        <v>6</v>
      </c>
    </row>
    <row r="854" spans="1:37">
      <c r="A854" t="s">
        <v>3898</v>
      </c>
      <c r="B854" t="s">
        <v>3899</v>
      </c>
      <c r="C854" t="s">
        <v>3722</v>
      </c>
      <c r="D854" t="s">
        <v>3900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3901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  <c r="W854" t="s">
        <v>3898</v>
      </c>
      <c r="X854" t="str">
        <v>01-04-24</v>
      </c>
      <c r="Y854" t="str">
        <v>08-04-24</v>
      </c>
      <c r="Z854" t="s">
        <v>3900</v>
      </c>
      <c r="AA854" t="str">
        <v>Ananya Rao</v>
      </c>
      <c r="AB854" t="str">
        <f t="shared" si="131"/>
        <v>Consumer</v>
      </c>
      <c r="AC854" t="str">
        <f t="shared" si="132"/>
        <v>East</v>
      </c>
      <c r="AD854" t="str">
        <f t="shared" si="133"/>
        <v>Assam</v>
      </c>
      <c r="AE854" t="str">
        <f t="shared" si="134"/>
        <v>Guwahati</v>
      </c>
      <c r="AF854" t="str">
        <f t="shared" si="135"/>
        <v>Furniture</v>
      </c>
      <c r="AG854" t="str">
        <f t="shared" si="136"/>
        <v>Tables</v>
      </c>
      <c r="AH854" t="str">
        <f t="shared" si="137"/>
        <v>Smart Tables 513</v>
      </c>
      <c r="AI854" t="str">
        <f t="shared" si="138"/>
        <v>Second Class</v>
      </c>
      <c r="AJ854" s="3" t="str">
        <f t="shared" si="139"/>
        <v>anomaly</v>
      </c>
      <c r="AK854">
        <f t="shared" si="140"/>
        <v>7</v>
      </c>
    </row>
    <row r="855" spans="1:37">
      <c r="A855" t="s">
        <v>3902</v>
      </c>
      <c r="B855" t="s">
        <v>3903</v>
      </c>
      <c r="C855" t="s">
        <v>3881</v>
      </c>
      <c r="D855" t="s">
        <v>3904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3905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  <c r="W855" t="s">
        <v>3902</v>
      </c>
      <c r="X855" t="str">
        <v>16-05-25</v>
      </c>
      <c r="Y855" t="str">
        <v>invalid date</v>
      </c>
      <c r="Z855" t="s">
        <v>3904</v>
      </c>
      <c r="AA855" t="str">
        <v>Arjun Bose</v>
      </c>
      <c r="AB855" t="str">
        <f t="shared" si="131"/>
        <v>Corporate</v>
      </c>
      <c r="AC855" t="str">
        <f t="shared" si="132"/>
        <v>South</v>
      </c>
      <c r="AD855" t="str">
        <f t="shared" si="133"/>
        <v>Tamil Nadu</v>
      </c>
      <c r="AE855" t="str">
        <f t="shared" si="134"/>
        <v>Chennai</v>
      </c>
      <c r="AF855" t="str">
        <f t="shared" si="135"/>
        <v>Technology</v>
      </c>
      <c r="AG855" t="str">
        <f t="shared" si="136"/>
        <v>Accessories</v>
      </c>
      <c r="AH855" t="str">
        <f t="shared" si="137"/>
        <v>Elite Accessories 708</v>
      </c>
      <c r="AI855" t="str">
        <f t="shared" si="138"/>
        <v>Same Day</v>
      </c>
      <c r="AJ855" s="3" t="str">
        <f t="shared" si="139"/>
        <v>Invalid</v>
      </c>
      <c r="AK855" t="str">
        <f t="shared" si="140"/>
        <v>invalid date</v>
      </c>
    </row>
    <row r="856" spans="1:37">
      <c r="A856" t="s">
        <v>3906</v>
      </c>
      <c r="B856" t="s">
        <v>3907</v>
      </c>
      <c r="C856" t="s">
        <v>3908</v>
      </c>
      <c r="D856" t="s">
        <v>3909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3910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  <c r="W856" t="s">
        <v>3906</v>
      </c>
      <c r="X856" t="str">
        <v>invalid date</v>
      </c>
      <c r="Y856" t="str">
        <v>04-02-25</v>
      </c>
      <c r="Z856" t="s">
        <v>3909</v>
      </c>
      <c r="AA856" t="str">
        <v>Priya Menon</v>
      </c>
      <c r="AB856" t="str">
        <f t="shared" si="131"/>
        <v>Consumer</v>
      </c>
      <c r="AC856" t="str">
        <f t="shared" si="132"/>
        <v>South</v>
      </c>
      <c r="AD856" t="str">
        <f t="shared" si="133"/>
        <v>Karnataka</v>
      </c>
      <c r="AE856" t="str">
        <f t="shared" si="134"/>
        <v>Bengaluru</v>
      </c>
      <c r="AF856" t="str">
        <f t="shared" si="135"/>
        <v>Furniture</v>
      </c>
      <c r="AG856" t="str">
        <f t="shared" si="136"/>
        <v>Bookcases</v>
      </c>
      <c r="AH856" t="str">
        <f t="shared" si="137"/>
        <v>Max Bookcases 381</v>
      </c>
      <c r="AI856" t="str">
        <f t="shared" si="138"/>
        <v>Second Class</v>
      </c>
      <c r="AJ856" s="3" t="str">
        <f t="shared" si="139"/>
        <v>Invalid</v>
      </c>
      <c r="AK856" t="str">
        <f t="shared" si="140"/>
        <v>invalid date</v>
      </c>
    </row>
    <row r="857" spans="1:37">
      <c r="A857" t="s">
        <v>3911</v>
      </c>
      <c r="B857" t="s">
        <v>737</v>
      </c>
      <c r="C857" t="s">
        <v>3912</v>
      </c>
      <c r="D857" t="s">
        <v>1714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3913</v>
      </c>
      <c r="L857" t="s">
        <v>3914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  <c r="W857" t="s">
        <v>3911</v>
      </c>
      <c r="X857" t="str">
        <v>25-07-24</v>
      </c>
      <c r="Y857" t="str">
        <v>02-08-24</v>
      </c>
      <c r="Z857" t="s">
        <v>1714</v>
      </c>
      <c r="AA857" t="str">
        <v>Rahul Verma</v>
      </c>
      <c r="AB857" t="str">
        <f t="shared" si="131"/>
        <v>Consumer</v>
      </c>
      <c r="AC857" t="str">
        <f t="shared" si="132"/>
        <v>North</v>
      </c>
      <c r="AD857" t="str">
        <f t="shared" si="133"/>
        <v>Rajasthan</v>
      </c>
      <c r="AE857" t="str">
        <f t="shared" si="134"/>
        <v>Jaipur</v>
      </c>
      <c r="AF857" t="str">
        <f t="shared" si="135"/>
        <v>Office Supplies</v>
      </c>
      <c r="AG857" t="str">
        <f t="shared" si="136"/>
        <v>Labels</v>
      </c>
      <c r="AH857" t="str">
        <f t="shared" si="137"/>
        <v>Classic Labels 215</v>
      </c>
      <c r="AI857" t="str">
        <f t="shared" si="138"/>
        <v>Second Class</v>
      </c>
      <c r="AJ857" s="3" t="str">
        <f t="shared" si="139"/>
        <v xml:space="preserve">  </v>
      </c>
      <c r="AK857">
        <f t="shared" si="140"/>
        <v>8</v>
      </c>
    </row>
    <row r="858" spans="1:37">
      <c r="A858" t="s">
        <v>3915</v>
      </c>
      <c r="B858" t="s">
        <v>3916</v>
      </c>
      <c r="C858" t="s">
        <v>689</v>
      </c>
      <c r="D858" t="s">
        <v>1977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3917</v>
      </c>
      <c r="M858" t="s">
        <v>67</v>
      </c>
      <c r="N858">
        <v>4</v>
      </c>
      <c r="O858">
        <v>395.1</v>
      </c>
      <c r="P858" s="5" t="s">
        <v>4117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  <c r="W858" t="s">
        <v>3915</v>
      </c>
      <c r="X858" t="str">
        <v>12-06-24</v>
      </c>
      <c r="Y858" t="str">
        <v>19-06-24</v>
      </c>
      <c r="Z858" t="s">
        <v>1977</v>
      </c>
      <c r="AA858" t="str">
        <v>Rohan Mehta</v>
      </c>
      <c r="AB858" t="str">
        <f t="shared" si="131"/>
        <v>Home Office</v>
      </c>
      <c r="AC858" t="str">
        <f t="shared" si="132"/>
        <v>South</v>
      </c>
      <c r="AD858" t="str">
        <f t="shared" si="133"/>
        <v>Tamil Nadu</v>
      </c>
      <c r="AE858" t="str">
        <f t="shared" si="134"/>
        <v>Chennai</v>
      </c>
      <c r="AF858" t="str">
        <f t="shared" si="135"/>
        <v>Office Supplies</v>
      </c>
      <c r="AG858" t="str">
        <f t="shared" si="136"/>
        <v>Storage</v>
      </c>
      <c r="AH858" t="str">
        <f t="shared" si="137"/>
        <v>Classic Storage 918</v>
      </c>
      <c r="AI858" t="str">
        <f t="shared" si="138"/>
        <v>Standard Class</v>
      </c>
      <c r="AJ858" s="3" t="str">
        <f t="shared" si="139"/>
        <v>anomaly</v>
      </c>
      <c r="AK858">
        <f t="shared" si="140"/>
        <v>7</v>
      </c>
    </row>
    <row r="859" spans="1:37">
      <c r="A859" t="s">
        <v>3918</v>
      </c>
      <c r="B859" t="s">
        <v>3919</v>
      </c>
      <c r="C859" t="s">
        <v>3920</v>
      </c>
      <c r="D859" t="s">
        <v>3233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3921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  <c r="W859" t="s">
        <v>3918</v>
      </c>
      <c r="X859" t="str">
        <v>04-06-24</v>
      </c>
      <c r="Y859" t="str">
        <v>04-06-24</v>
      </c>
      <c r="Z859" t="s">
        <v>3233</v>
      </c>
      <c r="AA859" t="str">
        <v>Sneha Kapoor</v>
      </c>
      <c r="AB859" t="str">
        <f t="shared" si="131"/>
        <v>Home Office</v>
      </c>
      <c r="AC859" t="str">
        <f t="shared" si="132"/>
        <v>South</v>
      </c>
      <c r="AD859" t="str">
        <f t="shared" si="133"/>
        <v>Kerala</v>
      </c>
      <c r="AE859" t="str">
        <f t="shared" si="134"/>
        <v>Kochi</v>
      </c>
      <c r="AF859" t="str">
        <f t="shared" si="135"/>
        <v>Office Supplies</v>
      </c>
      <c r="AG859" t="str">
        <f t="shared" si="136"/>
        <v>Storage</v>
      </c>
      <c r="AH859" t="str">
        <f t="shared" si="137"/>
        <v>Max Storage 223</v>
      </c>
      <c r="AI859" t="str">
        <f t="shared" si="138"/>
        <v>First Class</v>
      </c>
      <c r="AJ859" s="3" t="str">
        <f t="shared" si="139"/>
        <v xml:space="preserve">  </v>
      </c>
      <c r="AK859">
        <f t="shared" si="140"/>
        <v>0</v>
      </c>
    </row>
    <row r="860" spans="1:37">
      <c r="A860" t="s">
        <v>3922</v>
      </c>
      <c r="B860" t="s">
        <v>1223</v>
      </c>
      <c r="C860" t="s">
        <v>1292</v>
      </c>
      <c r="D860" t="s">
        <v>3923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3924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  <c r="W860" t="s">
        <v>3922</v>
      </c>
      <c r="X860" t="str">
        <v>05-02-24</v>
      </c>
      <c r="Y860" t="str">
        <v>09-05-24</v>
      </c>
      <c r="Z860" t="s">
        <v>3923</v>
      </c>
      <c r="AA860" t="str">
        <v>Arjun Bose</v>
      </c>
      <c r="AB860" t="str">
        <f t="shared" si="131"/>
        <v>Consumer</v>
      </c>
      <c r="AC860" t="str">
        <f t="shared" si="132"/>
        <v>East</v>
      </c>
      <c r="AD860" t="str">
        <f t="shared" si="133"/>
        <v>Odisha</v>
      </c>
      <c r="AE860" t="str">
        <f t="shared" si="134"/>
        <v>Bhubaneswar</v>
      </c>
      <c r="AF860" t="str">
        <f t="shared" si="135"/>
        <v>Technology</v>
      </c>
      <c r="AG860" t="str">
        <f t="shared" si="136"/>
        <v>Accessories</v>
      </c>
      <c r="AH860" t="str">
        <f t="shared" si="137"/>
        <v>Basic Accessories 602</v>
      </c>
      <c r="AI860" t="str">
        <f t="shared" si="138"/>
        <v>Second Class</v>
      </c>
      <c r="AJ860" s="3" t="str">
        <f t="shared" si="139"/>
        <v>anomaly</v>
      </c>
      <c r="AK860">
        <f t="shared" si="140"/>
        <v>94</v>
      </c>
    </row>
    <row r="861" spans="1:37">
      <c r="A861" t="s">
        <v>3925</v>
      </c>
      <c r="B861" t="s">
        <v>3503</v>
      </c>
      <c r="C861" t="s">
        <v>3926</v>
      </c>
      <c r="D861" t="s">
        <v>3927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3928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  <c r="W861" t="s">
        <v>3925</v>
      </c>
      <c r="X861" t="str">
        <v>invalid date</v>
      </c>
      <c r="Y861" t="str">
        <v>01-11-24</v>
      </c>
      <c r="Z861" t="s">
        <v>3927</v>
      </c>
      <c r="AA861" t="str">
        <v>Aditi Sen</v>
      </c>
      <c r="AB861" t="str">
        <f t="shared" si="131"/>
        <v>Corporate</v>
      </c>
      <c r="AC861" t="str">
        <f t="shared" si="132"/>
        <v>South</v>
      </c>
      <c r="AD861" t="str">
        <f t="shared" si="133"/>
        <v>Tamil Nadu</v>
      </c>
      <c r="AE861" t="str">
        <f t="shared" si="134"/>
        <v>Chennai</v>
      </c>
      <c r="AF861" t="str">
        <f t="shared" si="135"/>
        <v>Technology</v>
      </c>
      <c r="AG861" t="str">
        <f t="shared" si="136"/>
        <v>Phones</v>
      </c>
      <c r="AH861" t="str">
        <f t="shared" si="137"/>
        <v>Elite Phones 394</v>
      </c>
      <c r="AI861" t="str">
        <f t="shared" si="138"/>
        <v>Standard Class</v>
      </c>
      <c r="AJ861" s="3" t="str">
        <f t="shared" si="139"/>
        <v>Invalid</v>
      </c>
      <c r="AK861" t="str">
        <f t="shared" si="140"/>
        <v>invalid date</v>
      </c>
    </row>
    <row r="862" spans="1:37">
      <c r="A862" t="s">
        <v>3929</v>
      </c>
      <c r="B862" t="s">
        <v>742</v>
      </c>
      <c r="C862" t="s">
        <v>3930</v>
      </c>
      <c r="D862" t="s">
        <v>3931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3932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  <c r="W862" t="s">
        <v>3929</v>
      </c>
      <c r="X862" t="str">
        <v>02-02-24</v>
      </c>
      <c r="Y862" t="str">
        <v>04-02-24</v>
      </c>
      <c r="Z862" t="s">
        <v>3931</v>
      </c>
      <c r="AA862" t="str">
        <v>Vikram Iyer</v>
      </c>
      <c r="AB862" t="str">
        <f t="shared" si="131"/>
        <v>Home Office</v>
      </c>
      <c r="AC862" t="str">
        <f t="shared" si="132"/>
        <v>North</v>
      </c>
      <c r="AD862" t="str">
        <f t="shared" si="133"/>
        <v>Uttar Pradesh</v>
      </c>
      <c r="AE862" t="str">
        <f t="shared" si="134"/>
        <v>Noida</v>
      </c>
      <c r="AF862" t="str">
        <f t="shared" si="135"/>
        <v>Office Supplies</v>
      </c>
      <c r="AG862" t="str">
        <f t="shared" si="136"/>
        <v>Storage</v>
      </c>
      <c r="AH862" t="str">
        <f t="shared" si="137"/>
        <v>Classic Storage 194</v>
      </c>
      <c r="AI862" t="str">
        <f t="shared" si="138"/>
        <v>Second Class</v>
      </c>
      <c r="AJ862" s="3" t="str">
        <f t="shared" si="139"/>
        <v>anomaly</v>
      </c>
      <c r="AK862">
        <f t="shared" si="140"/>
        <v>2</v>
      </c>
    </row>
    <row r="863" spans="1:37">
      <c r="A863" t="s">
        <v>3933</v>
      </c>
      <c r="B863" t="s">
        <v>3934</v>
      </c>
      <c r="C863" t="s">
        <v>3935</v>
      </c>
      <c r="D863" t="s">
        <v>3936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3937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  <c r="W863" t="s">
        <v>3933</v>
      </c>
      <c r="X863" t="str">
        <v>08-03-25</v>
      </c>
      <c r="Y863" t="str">
        <v>09-03-25</v>
      </c>
      <c r="Z863" t="s">
        <v>3936</v>
      </c>
      <c r="AA863" t="str">
        <v>Priya Menon</v>
      </c>
      <c r="AB863" t="str">
        <f t="shared" si="131"/>
        <v>Home Office</v>
      </c>
      <c r="AC863" t="str">
        <f t="shared" si="132"/>
        <v>North</v>
      </c>
      <c r="AD863" t="str">
        <f t="shared" si="133"/>
        <v>Delhi</v>
      </c>
      <c r="AE863" t="str">
        <f t="shared" si="134"/>
        <v>New Delhi</v>
      </c>
      <c r="AF863" t="str">
        <f t="shared" si="135"/>
        <v>Furniture</v>
      </c>
      <c r="AG863" t="str">
        <f t="shared" si="136"/>
        <v>Furnishings</v>
      </c>
      <c r="AH863" t="str">
        <f t="shared" si="137"/>
        <v>Smart Furnishings 892</v>
      </c>
      <c r="AI863" t="str">
        <f t="shared" si="138"/>
        <v>Same Day</v>
      </c>
      <c r="AJ863" s="3" t="str">
        <f t="shared" si="139"/>
        <v>anomaly</v>
      </c>
      <c r="AK863">
        <f t="shared" si="140"/>
        <v>1</v>
      </c>
    </row>
    <row r="864" spans="1:37">
      <c r="A864" t="s">
        <v>3938</v>
      </c>
      <c r="B864" t="s">
        <v>3313</v>
      </c>
      <c r="C864" t="s">
        <v>3939</v>
      </c>
      <c r="D864" t="s">
        <v>3940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3941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  <c r="W864" t="s">
        <v>3938</v>
      </c>
      <c r="X864" t="str">
        <v>26-03-25</v>
      </c>
      <c r="Y864" t="str">
        <v>31-03-25</v>
      </c>
      <c r="Z864" t="s">
        <v>3940</v>
      </c>
      <c r="AA864" t="str">
        <v>Priya Menon</v>
      </c>
      <c r="AB864" t="str">
        <f t="shared" si="131"/>
        <v>Small Business</v>
      </c>
      <c r="AC864" t="str">
        <f t="shared" si="132"/>
        <v>East</v>
      </c>
      <c r="AD864" t="str">
        <f t="shared" si="133"/>
        <v>Jharkhand</v>
      </c>
      <c r="AE864" t="str">
        <f t="shared" si="134"/>
        <v>Ranchi</v>
      </c>
      <c r="AF864" t="str">
        <f t="shared" si="135"/>
        <v>Office Supplies</v>
      </c>
      <c r="AG864" t="str">
        <f t="shared" si="136"/>
        <v>Binders</v>
      </c>
      <c r="AH864" t="str">
        <f t="shared" si="137"/>
        <v>Pro Binders 488</v>
      </c>
      <c r="AI864" t="str">
        <f t="shared" si="138"/>
        <v>First Class</v>
      </c>
      <c r="AJ864" s="3" t="str">
        <f t="shared" si="139"/>
        <v>anomaly</v>
      </c>
      <c r="AK864">
        <f t="shared" si="140"/>
        <v>5</v>
      </c>
    </row>
    <row r="865" spans="1:37">
      <c r="A865" t="s">
        <v>3942</v>
      </c>
      <c r="B865" t="s">
        <v>3943</v>
      </c>
      <c r="C865" t="s">
        <v>2730</v>
      </c>
      <c r="D865" t="s">
        <v>3944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3945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  <c r="W865" t="s">
        <v>3942</v>
      </c>
      <c r="X865" t="str">
        <v>09-06-25</v>
      </c>
      <c r="Y865" t="str">
        <v>09-08-25</v>
      </c>
      <c r="Z865" t="s">
        <v>3944</v>
      </c>
      <c r="AA865" t="str">
        <v>Aarav Sharma</v>
      </c>
      <c r="AB865" t="str">
        <f t="shared" si="131"/>
        <v>Home Office</v>
      </c>
      <c r="AC865" t="str">
        <f t="shared" si="132"/>
        <v>West</v>
      </c>
      <c r="AD865" t="str">
        <f t="shared" si="133"/>
        <v>Madhya Pradesh</v>
      </c>
      <c r="AE865" t="str">
        <f t="shared" si="134"/>
        <v>Indore</v>
      </c>
      <c r="AF865" t="str">
        <f t="shared" si="135"/>
        <v>Furniture</v>
      </c>
      <c r="AG865" t="str">
        <f t="shared" si="136"/>
        <v>Furnishings</v>
      </c>
      <c r="AH865" t="str">
        <f t="shared" si="137"/>
        <v>Prime Furnishings 679</v>
      </c>
      <c r="AI865" t="str">
        <f t="shared" si="138"/>
        <v>Same Day</v>
      </c>
      <c r="AJ865" s="3" t="str">
        <f t="shared" si="139"/>
        <v>anomaly</v>
      </c>
      <c r="AK865">
        <f t="shared" si="140"/>
        <v>61</v>
      </c>
    </row>
    <row r="866" spans="1:37">
      <c r="A866" t="s">
        <v>3946</v>
      </c>
      <c r="B866" t="s">
        <v>3947</v>
      </c>
      <c r="C866" t="s">
        <v>572</v>
      </c>
      <c r="D866" t="s">
        <v>3948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3949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  <c r="W866" t="s">
        <v>3946</v>
      </c>
      <c r="X866" t="str">
        <v>02-09-25</v>
      </c>
      <c r="Y866" t="str">
        <v>05-09-25</v>
      </c>
      <c r="Z866" t="s">
        <v>3948</v>
      </c>
      <c r="AA866" t="str">
        <v>Vikram Iyer</v>
      </c>
      <c r="AB866" t="str">
        <f t="shared" si="131"/>
        <v>Consumer</v>
      </c>
      <c r="AC866" t="str">
        <f t="shared" si="132"/>
        <v>South</v>
      </c>
      <c r="AD866" t="str">
        <f t="shared" si="133"/>
        <v>Tamil Nadu</v>
      </c>
      <c r="AE866" t="str">
        <f t="shared" si="134"/>
        <v>Chennai</v>
      </c>
      <c r="AF866" t="str">
        <f t="shared" si="135"/>
        <v>Technology</v>
      </c>
      <c r="AG866" t="str">
        <f t="shared" si="136"/>
        <v>Phones</v>
      </c>
      <c r="AH866" t="str">
        <f t="shared" si="137"/>
        <v>Smart Phones 158</v>
      </c>
      <c r="AI866" t="str">
        <f t="shared" si="138"/>
        <v>First Class</v>
      </c>
      <c r="AJ866" s="3" t="str">
        <f t="shared" si="139"/>
        <v>anomaly</v>
      </c>
      <c r="AK866">
        <f t="shared" si="140"/>
        <v>3</v>
      </c>
    </row>
    <row r="867" spans="1:37">
      <c r="A867" t="s">
        <v>3950</v>
      </c>
      <c r="B867" t="s">
        <v>3764</v>
      </c>
      <c r="C867" t="s">
        <v>1918</v>
      </c>
      <c r="D867" t="s">
        <v>3951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3952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  <c r="W867" t="s">
        <v>3950</v>
      </c>
      <c r="X867" t="str">
        <v>06-02-25</v>
      </c>
      <c r="Y867" t="str">
        <v>14-02-25</v>
      </c>
      <c r="Z867" t="s">
        <v>3951</v>
      </c>
      <c r="AA867" t="str">
        <v>Kabir Singh</v>
      </c>
      <c r="AB867" t="str">
        <f t="shared" si="131"/>
        <v>Consumer</v>
      </c>
      <c r="AC867" t="str">
        <f t="shared" si="132"/>
        <v>West</v>
      </c>
      <c r="AD867" t="str">
        <f t="shared" si="133"/>
        <v>Maharashtra</v>
      </c>
      <c r="AE867" t="str">
        <f t="shared" si="134"/>
        <v>Mumbai</v>
      </c>
      <c r="AF867" t="str">
        <f t="shared" si="135"/>
        <v>Office Supplies</v>
      </c>
      <c r="AG867" t="str">
        <f t="shared" si="136"/>
        <v>Labels</v>
      </c>
      <c r="AH867" t="str">
        <f t="shared" si="137"/>
        <v>Classic Labels 218</v>
      </c>
      <c r="AI867" t="str">
        <f t="shared" si="138"/>
        <v>Second Class</v>
      </c>
      <c r="AJ867" s="3" t="str">
        <f t="shared" si="139"/>
        <v>anomaly</v>
      </c>
      <c r="AK867">
        <f t="shared" si="140"/>
        <v>8</v>
      </c>
    </row>
    <row r="868" spans="1:37">
      <c r="A868" t="s">
        <v>3953</v>
      </c>
      <c r="B868" t="s">
        <v>1184</v>
      </c>
      <c r="C868" t="s">
        <v>3954</v>
      </c>
      <c r="D868" t="s">
        <v>3955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3956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  <c r="W868" t="s">
        <v>3953</v>
      </c>
      <c r="X868" t="str">
        <v>invalid date</v>
      </c>
      <c r="Y868" t="str">
        <v>06-03-25</v>
      </c>
      <c r="Z868" t="s">
        <v>3955</v>
      </c>
      <c r="AA868" t="str">
        <v>Priya Menon</v>
      </c>
      <c r="AB868" t="str">
        <f t="shared" si="131"/>
        <v>Consumer</v>
      </c>
      <c r="AC868" t="str">
        <f t="shared" si="132"/>
        <v>East</v>
      </c>
      <c r="AD868" t="str">
        <f t="shared" si="133"/>
        <v>Bihar</v>
      </c>
      <c r="AE868" t="str">
        <f t="shared" si="134"/>
        <v>Patna</v>
      </c>
      <c r="AF868" t="str">
        <f t="shared" si="135"/>
        <v>Furniture</v>
      </c>
      <c r="AG868" t="str">
        <f t="shared" si="136"/>
        <v>Bookcases</v>
      </c>
      <c r="AH868" t="str">
        <f t="shared" si="137"/>
        <v>Smart Bookcases 552</v>
      </c>
      <c r="AI868" t="str">
        <f t="shared" si="138"/>
        <v>First Class</v>
      </c>
      <c r="AJ868" s="3" t="str">
        <f t="shared" si="139"/>
        <v>Invalid</v>
      </c>
      <c r="AK868" t="str">
        <f t="shared" si="140"/>
        <v>invalid date</v>
      </c>
    </row>
    <row r="869" spans="1:37">
      <c r="A869" t="s">
        <v>3957</v>
      </c>
      <c r="B869" t="s">
        <v>3958</v>
      </c>
      <c r="C869" t="s">
        <v>3959</v>
      </c>
      <c r="D869" t="s">
        <v>3960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3961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  <c r="W869" t="s">
        <v>3957</v>
      </c>
      <c r="X869" t="str">
        <v>21-11-24</v>
      </c>
      <c r="Y869" t="str">
        <v>22-11-24</v>
      </c>
      <c r="Z869" t="s">
        <v>3960</v>
      </c>
      <c r="AA869" t="str">
        <v>Rahul Verma</v>
      </c>
      <c r="AB869" t="str">
        <f t="shared" si="131"/>
        <v>Home Office</v>
      </c>
      <c r="AC869" t="str">
        <f t="shared" si="132"/>
        <v>South</v>
      </c>
      <c r="AD869" t="str">
        <f t="shared" si="133"/>
        <v>Andhra Pradesh</v>
      </c>
      <c r="AE869" t="str">
        <f t="shared" si="134"/>
        <v>Vijayawada</v>
      </c>
      <c r="AF869" t="str">
        <f t="shared" si="135"/>
        <v>Technology</v>
      </c>
      <c r="AG869" t="str">
        <f t="shared" si="136"/>
        <v>Accessories</v>
      </c>
      <c r="AH869" t="str">
        <f t="shared" si="137"/>
        <v>Eco Accessories 389</v>
      </c>
      <c r="AI869" t="str">
        <f t="shared" si="138"/>
        <v>Same Day</v>
      </c>
      <c r="AJ869" s="3" t="str">
        <f t="shared" si="139"/>
        <v>anomaly</v>
      </c>
      <c r="AK869">
        <f t="shared" si="140"/>
        <v>1</v>
      </c>
    </row>
    <row r="870" spans="1:37">
      <c r="A870" t="s">
        <v>3962</v>
      </c>
      <c r="B870" t="s">
        <v>813</v>
      </c>
      <c r="C870" t="s">
        <v>2141</v>
      </c>
      <c r="D870" t="s">
        <v>3963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3964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  <c r="W870" t="s">
        <v>3962</v>
      </c>
      <c r="X870" t="str">
        <v>11-04-25</v>
      </c>
      <c r="Y870" t="str">
        <v>15-04-25</v>
      </c>
      <c r="Z870" t="s">
        <v>3963</v>
      </c>
      <c r="AA870" t="str">
        <v>Vikram Iyer</v>
      </c>
      <c r="AB870" t="str">
        <f t="shared" si="131"/>
        <v>Home Office</v>
      </c>
      <c r="AC870" t="str">
        <f t="shared" si="132"/>
        <v>South</v>
      </c>
      <c r="AD870" t="str">
        <f t="shared" si="133"/>
        <v>Karnataka</v>
      </c>
      <c r="AE870" t="str">
        <f t="shared" si="134"/>
        <v>Bengaluru</v>
      </c>
      <c r="AF870" t="str">
        <f t="shared" si="135"/>
        <v>Office Supplies</v>
      </c>
      <c r="AG870" t="str">
        <f t="shared" si="136"/>
        <v>Storage</v>
      </c>
      <c r="AH870" t="str">
        <f t="shared" si="137"/>
        <v>Elite Storage 187</v>
      </c>
      <c r="AI870" t="str">
        <f t="shared" si="138"/>
        <v>Same Day</v>
      </c>
      <c r="AJ870" s="3" t="str">
        <f t="shared" si="139"/>
        <v>anomaly</v>
      </c>
      <c r="AK870">
        <f t="shared" si="140"/>
        <v>4</v>
      </c>
    </row>
    <row r="871" spans="1:37">
      <c r="A871" t="s">
        <v>3965</v>
      </c>
      <c r="B871" t="s">
        <v>3966</v>
      </c>
      <c r="C871" t="s">
        <v>786</v>
      </c>
      <c r="D871" t="s">
        <v>3967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1750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  <c r="W871" t="s">
        <v>3965</v>
      </c>
      <c r="X871" t="str">
        <v>03-06-25</v>
      </c>
      <c r="Y871" t="str">
        <v>07-03-25</v>
      </c>
      <c r="Z871" t="s">
        <v>3967</v>
      </c>
      <c r="AA871" t="str">
        <v>Rohan Mehta</v>
      </c>
      <c r="AB871" t="str">
        <f t="shared" si="131"/>
        <v>Home Office</v>
      </c>
      <c r="AC871" s="5" t="s">
        <v>4116</v>
      </c>
      <c r="AD871" t="str">
        <f t="shared" si="133"/>
        <v>Delhi</v>
      </c>
      <c r="AE871" t="str">
        <f t="shared" si="134"/>
        <v>New Delhi</v>
      </c>
      <c r="AF871" t="str">
        <f t="shared" si="135"/>
        <v>Furniture</v>
      </c>
      <c r="AG871" t="str">
        <f t="shared" si="136"/>
        <v>Chairs</v>
      </c>
      <c r="AH871" t="str">
        <f t="shared" si="137"/>
        <v>Max Chairs 487</v>
      </c>
      <c r="AI871" t="str">
        <f t="shared" si="138"/>
        <v>Same Day</v>
      </c>
      <c r="AJ871" s="3" t="str">
        <f t="shared" si="139"/>
        <v>anomaly</v>
      </c>
      <c r="AK871">
        <f t="shared" si="140"/>
        <v>-88</v>
      </c>
    </row>
    <row r="872" spans="1:37">
      <c r="A872" t="s">
        <v>3968</v>
      </c>
      <c r="B872" t="s">
        <v>3969</v>
      </c>
      <c r="C872" t="s">
        <v>3970</v>
      </c>
      <c r="D872" t="s">
        <v>3971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3972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  <c r="W872" t="s">
        <v>3968</v>
      </c>
      <c r="X872" t="str">
        <v>06-06-25</v>
      </c>
      <c r="Y872" t="str">
        <v>07-06-25</v>
      </c>
      <c r="Z872" t="s">
        <v>3971</v>
      </c>
      <c r="AA872" t="str">
        <v>Vikram Iyer</v>
      </c>
      <c r="AB872" t="str">
        <f t="shared" si="131"/>
        <v>Corporate</v>
      </c>
      <c r="AC872" t="str">
        <f t="shared" si="132"/>
        <v>West</v>
      </c>
      <c r="AD872" t="str">
        <f t="shared" si="133"/>
        <v>Goa</v>
      </c>
      <c r="AE872" t="str">
        <f t="shared" si="134"/>
        <v>Panaji</v>
      </c>
      <c r="AF872" t="str">
        <f t="shared" si="135"/>
        <v>Furniture</v>
      </c>
      <c r="AG872" t="str">
        <f t="shared" si="136"/>
        <v>Tables</v>
      </c>
      <c r="AH872" t="str">
        <f t="shared" si="137"/>
        <v>Max Tables 281</v>
      </c>
      <c r="AI872" t="str">
        <f t="shared" si="138"/>
        <v>Standard Class</v>
      </c>
      <c r="AJ872" s="3" t="str">
        <f t="shared" si="139"/>
        <v>anomaly</v>
      </c>
      <c r="AK872">
        <f t="shared" si="140"/>
        <v>1</v>
      </c>
    </row>
    <row r="873" spans="1:37">
      <c r="A873" t="s">
        <v>3973</v>
      </c>
      <c r="B873" t="s">
        <v>3974</v>
      </c>
      <c r="C873" t="s">
        <v>2828</v>
      </c>
      <c r="D873" t="s">
        <v>3793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3975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  <c r="W873" t="s">
        <v>3973</v>
      </c>
      <c r="X873" t="str">
        <v>invalid date</v>
      </c>
      <c r="Y873" t="str">
        <v>22-02-24</v>
      </c>
      <c r="Z873" t="s">
        <v>3793</v>
      </c>
      <c r="AA873" t="str">
        <v>Neha Gupta</v>
      </c>
      <c r="AB873" t="str">
        <f t="shared" si="131"/>
        <v>Small Business</v>
      </c>
      <c r="AC873" t="str">
        <f t="shared" si="132"/>
        <v>South</v>
      </c>
      <c r="AD873" t="str">
        <f t="shared" si="133"/>
        <v>Telangana</v>
      </c>
      <c r="AE873" t="str">
        <f t="shared" si="134"/>
        <v>Hyderabad</v>
      </c>
      <c r="AF873" t="str">
        <f t="shared" si="135"/>
        <v>Technology</v>
      </c>
      <c r="AG873" t="str">
        <f t="shared" si="136"/>
        <v>Accessories</v>
      </c>
      <c r="AH873" t="str">
        <f t="shared" si="137"/>
        <v>Pro Accessories 325</v>
      </c>
      <c r="AI873" t="str">
        <f t="shared" si="138"/>
        <v>First Class</v>
      </c>
      <c r="AJ873" s="3" t="str">
        <f t="shared" si="139"/>
        <v>Invalid</v>
      </c>
      <c r="AK873" t="str">
        <f t="shared" si="140"/>
        <v>invalid date</v>
      </c>
    </row>
    <row r="874" spans="1:37">
      <c r="A874" t="s">
        <v>3976</v>
      </c>
      <c r="B874" t="s">
        <v>3504</v>
      </c>
      <c r="C874" t="s">
        <v>3977</v>
      </c>
      <c r="D874" t="s">
        <v>2960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3978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  <c r="W874" t="s">
        <v>3976</v>
      </c>
      <c r="X874" t="str">
        <v>11-01-24</v>
      </c>
      <c r="Y874" t="str">
        <v>02-11-24</v>
      </c>
      <c r="Z874" t="s">
        <v>2960</v>
      </c>
      <c r="AA874" t="str">
        <v>Karan Malhotra</v>
      </c>
      <c r="AB874" t="str">
        <f t="shared" si="131"/>
        <v>Corporate</v>
      </c>
      <c r="AC874" t="str">
        <f t="shared" si="132"/>
        <v>East</v>
      </c>
      <c r="AD874" t="str">
        <f t="shared" si="133"/>
        <v>West Bengal</v>
      </c>
      <c r="AE874" t="str">
        <f t="shared" si="134"/>
        <v>Kolkata</v>
      </c>
      <c r="AF874" t="str">
        <f t="shared" si="135"/>
        <v>Furniture</v>
      </c>
      <c r="AG874" t="str">
        <f t="shared" si="136"/>
        <v>Furnishings</v>
      </c>
      <c r="AH874" t="str">
        <f t="shared" si="137"/>
        <v>Prime Furnishings 178</v>
      </c>
      <c r="AI874" t="str">
        <f t="shared" si="138"/>
        <v>Standard Class</v>
      </c>
      <c r="AJ874" s="3" t="str">
        <f t="shared" si="139"/>
        <v xml:space="preserve">  </v>
      </c>
      <c r="AK874">
        <f t="shared" si="140"/>
        <v>296</v>
      </c>
    </row>
    <row r="875" spans="1:37">
      <c r="A875" t="s">
        <v>3979</v>
      </c>
      <c r="B875" t="s">
        <v>3980</v>
      </c>
      <c r="C875" t="s">
        <v>3981</v>
      </c>
      <c r="D875" t="s">
        <v>3982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3983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  <c r="W875" t="s">
        <v>3979</v>
      </c>
      <c r="X875" t="str">
        <v>01-02-25</v>
      </c>
      <c r="Y875" t="str">
        <v>08-02-25</v>
      </c>
      <c r="Z875" t="s">
        <v>3982</v>
      </c>
      <c r="AA875" t="str">
        <v>Aditi Sen</v>
      </c>
      <c r="AB875" t="str">
        <f t="shared" si="131"/>
        <v>Home Office</v>
      </c>
      <c r="AC875" t="str">
        <f t="shared" si="132"/>
        <v>West</v>
      </c>
      <c r="AD875" t="str">
        <f t="shared" si="133"/>
        <v>Gujarat</v>
      </c>
      <c r="AE875" t="str">
        <f t="shared" si="134"/>
        <v>Ahmedabad</v>
      </c>
      <c r="AF875" t="str">
        <f t="shared" si="135"/>
        <v>Office Supplies</v>
      </c>
      <c r="AG875" t="str">
        <f t="shared" si="136"/>
        <v>Storage</v>
      </c>
      <c r="AH875" t="str">
        <f t="shared" si="137"/>
        <v>Elite Storage 144</v>
      </c>
      <c r="AI875" t="str">
        <f t="shared" si="138"/>
        <v>Second Class</v>
      </c>
      <c r="AJ875" s="3" t="str">
        <f t="shared" si="139"/>
        <v>anomaly</v>
      </c>
      <c r="AK875">
        <f t="shared" si="140"/>
        <v>7</v>
      </c>
    </row>
    <row r="876" spans="1:37">
      <c r="A876" t="s">
        <v>3984</v>
      </c>
      <c r="B876" t="s">
        <v>2906</v>
      </c>
      <c r="C876" t="s">
        <v>1509</v>
      </c>
      <c r="D876" t="s">
        <v>3985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3986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  <c r="W876" t="s">
        <v>3984</v>
      </c>
      <c r="X876" t="str">
        <v>15-07-25</v>
      </c>
      <c r="Y876" t="str">
        <v>16-07-25</v>
      </c>
      <c r="Z876" t="s">
        <v>3985</v>
      </c>
      <c r="AA876" t="str">
        <v>Vikram Iyer</v>
      </c>
      <c r="AB876" t="str">
        <f t="shared" si="131"/>
        <v>Small Business</v>
      </c>
      <c r="AC876" t="str">
        <f t="shared" si="132"/>
        <v>West</v>
      </c>
      <c r="AD876" t="str">
        <f t="shared" si="133"/>
        <v>Maharashtra</v>
      </c>
      <c r="AE876" t="str">
        <f t="shared" si="134"/>
        <v>Mumbai</v>
      </c>
      <c r="AF876" t="str">
        <f t="shared" si="135"/>
        <v>Office Supplies</v>
      </c>
      <c r="AG876" t="str">
        <f t="shared" si="136"/>
        <v>Paper</v>
      </c>
      <c r="AH876" t="str">
        <f t="shared" si="137"/>
        <v>Elite Paper 309</v>
      </c>
      <c r="AI876" t="str">
        <f t="shared" si="138"/>
        <v>Standard Class</v>
      </c>
      <c r="AJ876" s="3" t="str">
        <f t="shared" si="139"/>
        <v>anomaly</v>
      </c>
      <c r="AK876">
        <f t="shared" si="140"/>
        <v>1</v>
      </c>
    </row>
    <row r="877" spans="1:37">
      <c r="A877" t="s">
        <v>3987</v>
      </c>
      <c r="B877" t="s">
        <v>3988</v>
      </c>
      <c r="C877" t="s">
        <v>3989</v>
      </c>
      <c r="D877" t="s">
        <v>3990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3991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  <c r="W877" t="s">
        <v>3987</v>
      </c>
      <c r="X877" t="str">
        <v>10-08-24</v>
      </c>
      <c r="Y877" t="str">
        <v>08-11-24</v>
      </c>
      <c r="Z877" t="s">
        <v>3990</v>
      </c>
      <c r="AA877" t="str">
        <v>Mira Das</v>
      </c>
      <c r="AB877" t="str">
        <f t="shared" si="131"/>
        <v>Corporate</v>
      </c>
      <c r="AC877" t="str">
        <f t="shared" si="132"/>
        <v>West</v>
      </c>
      <c r="AD877" t="str">
        <f t="shared" si="133"/>
        <v>Maharashtra</v>
      </c>
      <c r="AE877" t="str">
        <f t="shared" si="134"/>
        <v>Mumbai</v>
      </c>
      <c r="AF877" t="str">
        <f t="shared" si="135"/>
        <v>Technology</v>
      </c>
      <c r="AG877" t="str">
        <f t="shared" si="136"/>
        <v>Copiers</v>
      </c>
      <c r="AH877" t="str">
        <f t="shared" si="137"/>
        <v>Elite Copiers 752</v>
      </c>
      <c r="AI877" t="str">
        <f t="shared" si="138"/>
        <v>First Class</v>
      </c>
      <c r="AJ877" s="3" t="str">
        <f t="shared" si="139"/>
        <v xml:space="preserve">  </v>
      </c>
      <c r="AK877">
        <f t="shared" si="140"/>
        <v>90</v>
      </c>
    </row>
    <row r="878" spans="1:37">
      <c r="A878" t="s">
        <v>3992</v>
      </c>
      <c r="B878" t="s">
        <v>3993</v>
      </c>
      <c r="C878" t="s">
        <v>3994</v>
      </c>
      <c r="D878" t="s">
        <v>3995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1289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  <c r="W878" t="s">
        <v>3992</v>
      </c>
      <c r="X878" t="str">
        <v>invalid date</v>
      </c>
      <c r="Y878" t="str">
        <v>20-11-24</v>
      </c>
      <c r="Z878" t="s">
        <v>3995</v>
      </c>
      <c r="AA878" t="str">
        <v>Priya Menon</v>
      </c>
      <c r="AB878" t="str">
        <f t="shared" si="131"/>
        <v>Consumer</v>
      </c>
      <c r="AC878" t="str">
        <f t="shared" si="132"/>
        <v>West</v>
      </c>
      <c r="AD878" t="str">
        <f t="shared" si="133"/>
        <v>Rajasthan</v>
      </c>
      <c r="AE878" t="str">
        <f t="shared" si="134"/>
        <v>Udaipur</v>
      </c>
      <c r="AF878" t="str">
        <f t="shared" si="135"/>
        <v>Furniture</v>
      </c>
      <c r="AG878" t="str">
        <f t="shared" si="136"/>
        <v>Chairs</v>
      </c>
      <c r="AH878" t="str">
        <f t="shared" si="137"/>
        <v>Pro Chairs 316</v>
      </c>
      <c r="AI878" t="str">
        <f t="shared" si="138"/>
        <v>First Class</v>
      </c>
      <c r="AJ878" s="3" t="str">
        <f t="shared" si="139"/>
        <v>Invalid</v>
      </c>
      <c r="AK878" t="str">
        <f t="shared" si="140"/>
        <v>invalid date</v>
      </c>
    </row>
    <row r="879" spans="1:37">
      <c r="A879" t="s">
        <v>3996</v>
      </c>
      <c r="B879" t="s">
        <v>3997</v>
      </c>
      <c r="C879" t="s">
        <v>2765</v>
      </c>
      <c r="D879" t="s">
        <v>3998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3999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  <c r="W879" t="s">
        <v>3996</v>
      </c>
      <c r="X879" t="str">
        <v>26-08-25</v>
      </c>
      <c r="Y879" t="str">
        <v>03-09-25</v>
      </c>
      <c r="Z879" t="s">
        <v>3998</v>
      </c>
      <c r="AA879" t="str">
        <v>Aarav Sharma</v>
      </c>
      <c r="AB879" t="str">
        <f t="shared" si="131"/>
        <v>Consumer</v>
      </c>
      <c r="AC879" t="str">
        <f t="shared" si="132"/>
        <v>West</v>
      </c>
      <c r="AD879" t="str">
        <f t="shared" si="133"/>
        <v>Rajasthan</v>
      </c>
      <c r="AE879" t="str">
        <f t="shared" si="134"/>
        <v>Udaipur</v>
      </c>
      <c r="AF879" t="str">
        <f t="shared" si="135"/>
        <v>Office Supplies</v>
      </c>
      <c r="AG879" t="str">
        <f t="shared" si="136"/>
        <v>Storage</v>
      </c>
      <c r="AH879" t="str">
        <f t="shared" si="137"/>
        <v>Max Storage 438</v>
      </c>
      <c r="AI879" t="str">
        <f t="shared" si="138"/>
        <v>Second Class</v>
      </c>
      <c r="AJ879" s="3" t="str">
        <f t="shared" si="139"/>
        <v xml:space="preserve">  </v>
      </c>
      <c r="AK879">
        <f t="shared" si="140"/>
        <v>8</v>
      </c>
    </row>
    <row r="880" spans="1:37">
      <c r="A880" t="s">
        <v>4000</v>
      </c>
      <c r="B880" t="s">
        <v>2036</v>
      </c>
      <c r="C880" t="s">
        <v>2036</v>
      </c>
      <c r="D880" t="s">
        <v>4001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4002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  <c r="W880" t="s">
        <v>4000</v>
      </c>
      <c r="X880" t="str">
        <v>22-01-24</v>
      </c>
      <c r="Y880" t="str">
        <v>22-01-24</v>
      </c>
      <c r="Z880" t="s">
        <v>4001</v>
      </c>
      <c r="AA880" t="str">
        <v>Karan Malhotra</v>
      </c>
      <c r="AB880" t="str">
        <f t="shared" si="131"/>
        <v>Corporate</v>
      </c>
      <c r="AC880" t="str">
        <f t="shared" si="132"/>
        <v>East</v>
      </c>
      <c r="AD880" t="str">
        <f t="shared" si="133"/>
        <v>West Bengal</v>
      </c>
      <c r="AE880" t="str">
        <f t="shared" si="134"/>
        <v>Kolkata</v>
      </c>
      <c r="AF880" t="str">
        <f t="shared" si="135"/>
        <v>Office Supplies</v>
      </c>
      <c r="AG880" t="str">
        <f t="shared" si="136"/>
        <v>Paper</v>
      </c>
      <c r="AH880" t="str">
        <f t="shared" si="137"/>
        <v>Basic Paper 904</v>
      </c>
      <c r="AI880" t="str">
        <f t="shared" si="138"/>
        <v>First Class</v>
      </c>
      <c r="AJ880" s="3" t="str">
        <f t="shared" si="139"/>
        <v xml:space="preserve">  </v>
      </c>
      <c r="AK880">
        <f t="shared" si="140"/>
        <v>0</v>
      </c>
    </row>
    <row r="881" spans="1:37">
      <c r="A881" t="s">
        <v>4003</v>
      </c>
      <c r="B881" t="s">
        <v>4004</v>
      </c>
      <c r="C881" t="s">
        <v>435</v>
      </c>
      <c r="D881" t="s">
        <v>4005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4006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  <c r="W881" t="s">
        <v>4003</v>
      </c>
      <c r="X881" t="str">
        <v>27-08-25</v>
      </c>
      <c r="Y881" t="str">
        <v>invalid date</v>
      </c>
      <c r="Z881" t="s">
        <v>4005</v>
      </c>
      <c r="AA881" t="str">
        <v>Ananya Rao</v>
      </c>
      <c r="AB881" t="str">
        <f t="shared" si="131"/>
        <v>Home Office</v>
      </c>
      <c r="AC881" t="str">
        <f t="shared" si="132"/>
        <v>North</v>
      </c>
      <c r="AD881" t="str">
        <f t="shared" si="133"/>
        <v>Uttar Pradesh</v>
      </c>
      <c r="AE881" t="str">
        <f t="shared" si="134"/>
        <v>Noida</v>
      </c>
      <c r="AF881" t="str">
        <f t="shared" si="135"/>
        <v>Office Supplies</v>
      </c>
      <c r="AG881" t="str">
        <f t="shared" si="136"/>
        <v>Art</v>
      </c>
      <c r="AH881" t="str">
        <f t="shared" si="137"/>
        <v>Smart Art 990</v>
      </c>
      <c r="AI881" t="str">
        <f t="shared" si="138"/>
        <v>Standard Class</v>
      </c>
      <c r="AJ881" s="3" t="str">
        <f t="shared" si="139"/>
        <v>Invalid</v>
      </c>
      <c r="AK881" t="str">
        <f t="shared" si="140"/>
        <v>invalid date</v>
      </c>
    </row>
    <row r="882" spans="1:37">
      <c r="A882" t="s">
        <v>4007</v>
      </c>
      <c r="B882" t="s">
        <v>4008</v>
      </c>
      <c r="C882" t="s">
        <v>1122</v>
      </c>
      <c r="D882" t="s">
        <v>4009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4010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  <c r="W882" t="s">
        <v>4007</v>
      </c>
      <c r="X882" t="str">
        <v>08-03-24</v>
      </c>
      <c r="Y882" t="str">
        <v>invalid date</v>
      </c>
      <c r="Z882" t="s">
        <v>4009</v>
      </c>
      <c r="AA882" t="str">
        <v>Aarav Sharma</v>
      </c>
      <c r="AB882" t="str">
        <f t="shared" si="131"/>
        <v>Small Business</v>
      </c>
      <c r="AC882" s="5" t="s">
        <v>4116</v>
      </c>
      <c r="AD882" t="str">
        <f t="shared" si="133"/>
        <v>Punjab</v>
      </c>
      <c r="AE882" t="str">
        <f t="shared" si="134"/>
        <v>Ludhiana</v>
      </c>
      <c r="AF882" t="str">
        <f t="shared" si="135"/>
        <v>Furniture</v>
      </c>
      <c r="AG882" t="str">
        <f t="shared" si="136"/>
        <v>Chairs</v>
      </c>
      <c r="AH882" t="str">
        <f t="shared" si="137"/>
        <v>Basic Chairs 327</v>
      </c>
      <c r="AI882" t="str">
        <f t="shared" si="138"/>
        <v>First Class</v>
      </c>
      <c r="AJ882" s="3" t="str">
        <f t="shared" si="139"/>
        <v>Invalid</v>
      </c>
      <c r="AK882" t="str">
        <f t="shared" si="140"/>
        <v>invalid date</v>
      </c>
    </row>
    <row r="883" spans="1:37">
      <c r="A883" t="s">
        <v>4011</v>
      </c>
      <c r="B883" t="s">
        <v>2536</v>
      </c>
      <c r="C883" t="s">
        <v>4012</v>
      </c>
      <c r="D883" t="s">
        <v>4013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4014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  <c r="W883" t="s">
        <v>4011</v>
      </c>
      <c r="X883" t="str">
        <v>01-12-24</v>
      </c>
      <c r="Y883" t="str">
        <v>05-12-24</v>
      </c>
      <c r="Z883" t="s">
        <v>4013</v>
      </c>
      <c r="AA883" t="str">
        <v>Ananya Rao</v>
      </c>
      <c r="AB883" t="str">
        <f t="shared" si="131"/>
        <v>Small Business</v>
      </c>
      <c r="AC883" t="str">
        <f t="shared" si="132"/>
        <v>South</v>
      </c>
      <c r="AD883" t="str">
        <f t="shared" si="133"/>
        <v>Andhra Pradesh</v>
      </c>
      <c r="AE883" t="str">
        <f t="shared" si="134"/>
        <v>Vijayawada</v>
      </c>
      <c r="AF883" t="str">
        <f t="shared" si="135"/>
        <v>Technology</v>
      </c>
      <c r="AG883" t="str">
        <f t="shared" si="136"/>
        <v>Copiers</v>
      </c>
      <c r="AH883" t="str">
        <f t="shared" si="137"/>
        <v>Eco Copiers 987</v>
      </c>
      <c r="AI883" t="str">
        <f t="shared" si="138"/>
        <v>Second Class</v>
      </c>
      <c r="AJ883" s="3" t="str">
        <f t="shared" si="139"/>
        <v>anomaly</v>
      </c>
      <c r="AK883">
        <f t="shared" si="140"/>
        <v>4</v>
      </c>
    </row>
    <row r="884" spans="1:37">
      <c r="A884" t="s">
        <v>4015</v>
      </c>
      <c r="B884" t="s">
        <v>4016</v>
      </c>
      <c r="C884" t="s">
        <v>1333</v>
      </c>
      <c r="D884" t="s">
        <v>4017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4018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  <c r="W884" t="s">
        <v>4015</v>
      </c>
      <c r="X884" t="str">
        <v>02-02-25</v>
      </c>
      <c r="Y884" t="str">
        <v>02-10-25</v>
      </c>
      <c r="Z884" t="s">
        <v>4017</v>
      </c>
      <c r="AA884" t="str">
        <v>Sneha Kapoor</v>
      </c>
      <c r="AB884" t="str">
        <f t="shared" si="131"/>
        <v>Corporate</v>
      </c>
      <c r="AC884" t="str">
        <f t="shared" si="132"/>
        <v>East</v>
      </c>
      <c r="AD884" t="str">
        <f t="shared" si="133"/>
        <v>Bihar</v>
      </c>
      <c r="AE884" t="str">
        <f t="shared" si="134"/>
        <v>Patna</v>
      </c>
      <c r="AF884" t="str">
        <f t="shared" si="135"/>
        <v>Technology</v>
      </c>
      <c r="AG884" t="str">
        <f t="shared" si="136"/>
        <v>Accessories</v>
      </c>
      <c r="AH884" t="str">
        <f t="shared" si="137"/>
        <v>Basic Accessories 607</v>
      </c>
      <c r="AI884" t="str">
        <f t="shared" si="138"/>
        <v>Standard Class</v>
      </c>
      <c r="AJ884" s="3" t="str">
        <f t="shared" si="139"/>
        <v>anomaly</v>
      </c>
      <c r="AK884">
        <f t="shared" si="140"/>
        <v>242</v>
      </c>
    </row>
    <row r="885" spans="1:37">
      <c r="A885" t="s">
        <v>4019</v>
      </c>
      <c r="B885" t="s">
        <v>4020</v>
      </c>
      <c r="C885" t="s">
        <v>4021</v>
      </c>
      <c r="D885" t="s">
        <v>4022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4023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  <c r="W885" t="s">
        <v>4019</v>
      </c>
      <c r="X885" t="str">
        <v>28-04-25</v>
      </c>
      <c r="Y885" t="str">
        <v>05-01-25</v>
      </c>
      <c r="Z885" t="s">
        <v>4022</v>
      </c>
      <c r="AA885" t="str">
        <v>Aarav Sharma</v>
      </c>
      <c r="AB885" t="str">
        <f t="shared" si="131"/>
        <v>Small Business</v>
      </c>
      <c r="AC885" t="str">
        <f t="shared" si="132"/>
        <v>West</v>
      </c>
      <c r="AD885" t="str">
        <f t="shared" si="133"/>
        <v>Goa</v>
      </c>
      <c r="AE885" t="str">
        <f t="shared" si="134"/>
        <v>Panaji</v>
      </c>
      <c r="AF885" t="str">
        <f t="shared" si="135"/>
        <v>Office Supplies</v>
      </c>
      <c r="AG885" t="str">
        <f t="shared" si="136"/>
        <v>Storage</v>
      </c>
      <c r="AH885" t="str">
        <f t="shared" si="137"/>
        <v>Classic Storage 211</v>
      </c>
      <c r="AI885" t="str">
        <f t="shared" si="138"/>
        <v>Same Day</v>
      </c>
      <c r="AJ885" s="3" t="str">
        <f t="shared" si="139"/>
        <v xml:space="preserve">  </v>
      </c>
      <c r="AK885">
        <f t="shared" si="140"/>
        <v>-113</v>
      </c>
    </row>
    <row r="886" spans="1:37">
      <c r="A886" t="s">
        <v>4024</v>
      </c>
      <c r="B886" t="s">
        <v>4025</v>
      </c>
      <c r="C886" t="s">
        <v>4026</v>
      </c>
      <c r="D886" t="s">
        <v>4027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4028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  <c r="W886" t="s">
        <v>4024</v>
      </c>
      <c r="X886" t="str">
        <v>18-01-25</v>
      </c>
      <c r="Y886" t="str">
        <v>25-01-25</v>
      </c>
      <c r="Z886" t="s">
        <v>4027</v>
      </c>
      <c r="AA886" t="str">
        <v>Neha Gupta</v>
      </c>
      <c r="AB886" t="str">
        <f t="shared" si="131"/>
        <v>Home Office</v>
      </c>
      <c r="AC886" t="str">
        <f t="shared" si="132"/>
        <v>South</v>
      </c>
      <c r="AD886" t="str">
        <f t="shared" si="133"/>
        <v>Karnataka</v>
      </c>
      <c r="AE886" t="str">
        <f t="shared" si="134"/>
        <v>Bengaluru</v>
      </c>
      <c r="AF886" t="str">
        <f t="shared" si="135"/>
        <v>Office Supplies</v>
      </c>
      <c r="AG886" t="str">
        <f t="shared" si="136"/>
        <v>Storage</v>
      </c>
      <c r="AH886" t="str">
        <f t="shared" si="137"/>
        <v>Eco Storage 783</v>
      </c>
      <c r="AI886" t="str">
        <f t="shared" si="138"/>
        <v>Same Day</v>
      </c>
      <c r="AJ886" s="3" t="str">
        <f t="shared" si="139"/>
        <v>anomaly</v>
      </c>
      <c r="AK886">
        <f t="shared" si="140"/>
        <v>7</v>
      </c>
    </row>
    <row r="887" spans="1:37">
      <c r="A887" t="s">
        <v>4029</v>
      </c>
      <c r="B887" t="s">
        <v>4030</v>
      </c>
      <c r="C887" t="s">
        <v>4030</v>
      </c>
      <c r="D887" t="s">
        <v>4031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4032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  <c r="W887" t="s">
        <v>4029</v>
      </c>
      <c r="X887" t="str">
        <v>05-01-24</v>
      </c>
      <c r="Y887" t="str">
        <v>05-01-24</v>
      </c>
      <c r="Z887" t="s">
        <v>4031</v>
      </c>
      <c r="AA887" t="str">
        <v>Diya Patel</v>
      </c>
      <c r="AB887" t="str">
        <f t="shared" si="131"/>
        <v>Consumer</v>
      </c>
      <c r="AC887" t="str">
        <f t="shared" si="132"/>
        <v>North</v>
      </c>
      <c r="AD887" t="str">
        <f t="shared" si="133"/>
        <v>Rajasthan</v>
      </c>
      <c r="AE887" t="str">
        <f t="shared" si="134"/>
        <v>Jaipur</v>
      </c>
      <c r="AF887" t="str">
        <f t="shared" si="135"/>
        <v>Furniture</v>
      </c>
      <c r="AG887" t="str">
        <f t="shared" si="136"/>
        <v>Tables</v>
      </c>
      <c r="AH887" t="str">
        <f t="shared" si="137"/>
        <v>Pro Tables 866</v>
      </c>
      <c r="AI887" t="str">
        <f t="shared" si="138"/>
        <v>Standard Class</v>
      </c>
      <c r="AJ887" s="3" t="str">
        <f t="shared" si="139"/>
        <v xml:space="preserve">  </v>
      </c>
      <c r="AK887">
        <f t="shared" si="140"/>
        <v>0</v>
      </c>
    </row>
    <row r="888" spans="1:37">
      <c r="A888" t="s">
        <v>4033</v>
      </c>
      <c r="B888" t="s">
        <v>4034</v>
      </c>
      <c r="C888" t="s">
        <v>4035</v>
      </c>
      <c r="D888" t="s">
        <v>4036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4037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  <c r="W888" t="s">
        <v>4033</v>
      </c>
      <c r="X888" t="str">
        <v>26-04-25</v>
      </c>
      <c r="Y888" t="str">
        <v>03-05-25</v>
      </c>
      <c r="Z888" t="s">
        <v>4036</v>
      </c>
      <c r="AA888" t="str">
        <v>Arjun Bose</v>
      </c>
      <c r="AB888" t="str">
        <f t="shared" si="131"/>
        <v>Home Office</v>
      </c>
      <c r="AC888" t="str">
        <f t="shared" si="132"/>
        <v>South</v>
      </c>
      <c r="AD888" t="str">
        <f t="shared" si="133"/>
        <v>Tamil Nadu</v>
      </c>
      <c r="AE888" t="str">
        <f t="shared" si="134"/>
        <v>Chennai</v>
      </c>
      <c r="AF888" t="str">
        <f t="shared" si="135"/>
        <v>Technology</v>
      </c>
      <c r="AG888" t="str">
        <f t="shared" si="136"/>
        <v>Accessories</v>
      </c>
      <c r="AH888" t="str">
        <f t="shared" si="137"/>
        <v>Max Accessories 541</v>
      </c>
      <c r="AI888" t="str">
        <f t="shared" si="138"/>
        <v>First Class</v>
      </c>
      <c r="AJ888" s="3" t="str">
        <f t="shared" si="139"/>
        <v xml:space="preserve">  </v>
      </c>
      <c r="AK888">
        <f t="shared" si="140"/>
        <v>7</v>
      </c>
    </row>
    <row r="889" spans="1:37">
      <c r="A889" t="s">
        <v>4038</v>
      </c>
      <c r="B889" t="s">
        <v>3916</v>
      </c>
      <c r="C889" t="s">
        <v>683</v>
      </c>
      <c r="D889" t="s">
        <v>4039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4040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  <c r="W889" t="s">
        <v>4038</v>
      </c>
      <c r="X889" t="str">
        <v>12-06-24</v>
      </c>
      <c r="Y889" t="str">
        <v>18-06-24</v>
      </c>
      <c r="Z889" t="s">
        <v>4039</v>
      </c>
      <c r="AA889" t="str">
        <v>Aarav Sharma</v>
      </c>
      <c r="AB889" t="str">
        <f t="shared" si="131"/>
        <v>Small Business</v>
      </c>
      <c r="AC889" t="str">
        <f t="shared" si="132"/>
        <v>South</v>
      </c>
      <c r="AD889" t="str">
        <f t="shared" si="133"/>
        <v>Andhra Pradesh</v>
      </c>
      <c r="AE889" t="str">
        <f t="shared" si="134"/>
        <v>Vijayawada</v>
      </c>
      <c r="AF889" t="str">
        <f t="shared" si="135"/>
        <v>Office Supplies</v>
      </c>
      <c r="AG889" t="str">
        <f t="shared" si="136"/>
        <v>Art</v>
      </c>
      <c r="AH889" t="str">
        <f t="shared" si="137"/>
        <v>Prime Art 596</v>
      </c>
      <c r="AI889" t="str">
        <f t="shared" si="138"/>
        <v>Standard Class</v>
      </c>
      <c r="AJ889" s="3" t="str">
        <f t="shared" si="139"/>
        <v>anomaly</v>
      </c>
      <c r="AK889">
        <f t="shared" si="140"/>
        <v>6</v>
      </c>
    </row>
    <row r="890" spans="1:37">
      <c r="A890" t="s">
        <v>4041</v>
      </c>
      <c r="B890" t="s">
        <v>4042</v>
      </c>
      <c r="C890" t="s">
        <v>3576</v>
      </c>
      <c r="D890" t="s">
        <v>4043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4044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  <c r="W890" t="s">
        <v>4041</v>
      </c>
      <c r="X890" t="str">
        <v>06-08-25</v>
      </c>
      <c r="Y890" t="str">
        <v>07-08-25</v>
      </c>
      <c r="Z890" t="s">
        <v>4043</v>
      </c>
      <c r="AA890" t="str">
        <v>Rahul Verma</v>
      </c>
      <c r="AB890" t="str">
        <f t="shared" si="131"/>
        <v>Small Business</v>
      </c>
      <c r="AC890" t="str">
        <f t="shared" si="132"/>
        <v>West</v>
      </c>
      <c r="AD890" t="str">
        <f t="shared" si="133"/>
        <v>Maharashtra</v>
      </c>
      <c r="AE890" t="str">
        <f t="shared" si="134"/>
        <v>Mumbai</v>
      </c>
      <c r="AF890" t="str">
        <f t="shared" si="135"/>
        <v>Office Supplies</v>
      </c>
      <c r="AG890" t="str">
        <f t="shared" si="136"/>
        <v>Art</v>
      </c>
      <c r="AH890" t="str">
        <f t="shared" si="137"/>
        <v>Pro Art 620</v>
      </c>
      <c r="AI890" t="str">
        <f t="shared" si="138"/>
        <v>Standard Class</v>
      </c>
      <c r="AJ890" s="3" t="str">
        <f t="shared" si="139"/>
        <v>anomaly</v>
      </c>
      <c r="AK890">
        <f t="shared" si="140"/>
        <v>1</v>
      </c>
    </row>
    <row r="891" spans="1:37">
      <c r="A891" t="s">
        <v>4045</v>
      </c>
      <c r="B891" t="s">
        <v>4046</v>
      </c>
      <c r="C891" t="s">
        <v>4047</v>
      </c>
      <c r="D891" t="s">
        <v>1347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4048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  <c r="W891" t="s">
        <v>4045</v>
      </c>
      <c r="X891" t="str">
        <v>10-03-25</v>
      </c>
      <c r="Y891" t="str">
        <v>03-11-25</v>
      </c>
      <c r="Z891" t="s">
        <v>1347</v>
      </c>
      <c r="AA891" t="str">
        <v>Aditi Sen</v>
      </c>
      <c r="AB891" t="str">
        <f t="shared" si="131"/>
        <v>Home Office</v>
      </c>
      <c r="AC891" t="str">
        <f t="shared" si="132"/>
        <v>West</v>
      </c>
      <c r="AD891" t="str">
        <f t="shared" si="133"/>
        <v>Madhya Pradesh</v>
      </c>
      <c r="AE891" t="str">
        <f t="shared" si="134"/>
        <v>Indore</v>
      </c>
      <c r="AF891" t="str">
        <f t="shared" si="135"/>
        <v>Office Supplies</v>
      </c>
      <c r="AG891" t="str">
        <f t="shared" si="136"/>
        <v>Storage</v>
      </c>
      <c r="AH891" t="str">
        <f t="shared" si="137"/>
        <v>Prime Storage 806</v>
      </c>
      <c r="AI891" t="str">
        <f t="shared" si="138"/>
        <v>First Class</v>
      </c>
      <c r="AJ891" s="3" t="str">
        <f t="shared" si="139"/>
        <v xml:space="preserve">  </v>
      </c>
      <c r="AK891">
        <f t="shared" si="140"/>
        <v>238</v>
      </c>
    </row>
    <row r="892" spans="1:37">
      <c r="A892" t="s">
        <v>4049</v>
      </c>
      <c r="B892" t="s">
        <v>160</v>
      </c>
      <c r="C892" t="s">
        <v>1139</v>
      </c>
      <c r="D892" t="s">
        <v>4050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4051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  <c r="W892" t="s">
        <v>4049</v>
      </c>
      <c r="X892" t="str">
        <v>15-05-24</v>
      </c>
      <c r="Y892" t="str">
        <v>21-05-24</v>
      </c>
      <c r="Z892" t="s">
        <v>4050</v>
      </c>
      <c r="AA892" t="str">
        <v>Karan Malhotra</v>
      </c>
      <c r="AB892" t="str">
        <f t="shared" si="131"/>
        <v>Consumer</v>
      </c>
      <c r="AC892" t="str">
        <f t="shared" si="132"/>
        <v>West</v>
      </c>
      <c r="AD892" t="str">
        <f t="shared" si="133"/>
        <v>Goa</v>
      </c>
      <c r="AE892" t="str">
        <f t="shared" si="134"/>
        <v>Panaji</v>
      </c>
      <c r="AF892" t="str">
        <f t="shared" si="135"/>
        <v>Office Supplies</v>
      </c>
      <c r="AG892" t="str">
        <f t="shared" si="136"/>
        <v>Storage</v>
      </c>
      <c r="AH892" t="str">
        <f t="shared" si="137"/>
        <v>Smart Storage 288</v>
      </c>
      <c r="AI892" t="str">
        <f t="shared" si="138"/>
        <v>Standard Class</v>
      </c>
      <c r="AJ892" s="3" t="str">
        <f t="shared" si="139"/>
        <v>anomaly</v>
      </c>
      <c r="AK892">
        <f t="shared" si="140"/>
        <v>6</v>
      </c>
    </row>
    <row r="893" spans="1:37">
      <c r="A893" t="s">
        <v>4052</v>
      </c>
      <c r="B893" t="s">
        <v>3775</v>
      </c>
      <c r="C893" t="s">
        <v>2556</v>
      </c>
      <c r="D893" t="s">
        <v>4053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4054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  <c r="W893" t="s">
        <v>4052</v>
      </c>
      <c r="X893" t="str">
        <v>08-10-24</v>
      </c>
      <c r="Y893" t="str">
        <v>09-10-24</v>
      </c>
      <c r="Z893" t="s">
        <v>4053</v>
      </c>
      <c r="AA893" t="str">
        <v>Kabir Singh</v>
      </c>
      <c r="AB893" t="str">
        <f t="shared" si="131"/>
        <v>Corporate</v>
      </c>
      <c r="AC893" t="str">
        <f t="shared" si="132"/>
        <v>South</v>
      </c>
      <c r="AD893" t="str">
        <f t="shared" si="133"/>
        <v>Tamil Nadu</v>
      </c>
      <c r="AE893" t="str">
        <f t="shared" si="134"/>
        <v>Chennai</v>
      </c>
      <c r="AF893" t="str">
        <f t="shared" si="135"/>
        <v>Technology</v>
      </c>
      <c r="AG893" t="str">
        <f t="shared" si="136"/>
        <v>Machines</v>
      </c>
      <c r="AH893" t="str">
        <f t="shared" si="137"/>
        <v>Elite Machines 281</v>
      </c>
      <c r="AI893" t="str">
        <f t="shared" si="138"/>
        <v>Same Day</v>
      </c>
      <c r="AJ893" s="3" t="str">
        <f t="shared" si="139"/>
        <v>anomaly</v>
      </c>
      <c r="AK893">
        <f t="shared" si="140"/>
        <v>1</v>
      </c>
    </row>
    <row r="894" spans="1:37">
      <c r="A894" t="s">
        <v>4055</v>
      </c>
      <c r="B894" t="s">
        <v>4056</v>
      </c>
      <c r="C894" t="s">
        <v>2998</v>
      </c>
      <c r="D894" t="s">
        <v>4057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4058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  <c r="W894" t="s">
        <v>4055</v>
      </c>
      <c r="X894" t="str">
        <v>04-12-25</v>
      </c>
      <c r="Y894" t="str">
        <v>invalid date</v>
      </c>
      <c r="Z894" t="s">
        <v>4057</v>
      </c>
      <c r="AA894" t="str">
        <v>Isha Nair</v>
      </c>
      <c r="AB894" t="str">
        <f t="shared" si="131"/>
        <v>Small Business</v>
      </c>
      <c r="AC894" t="str">
        <f t="shared" si="132"/>
        <v>East</v>
      </c>
      <c r="AD894" t="str">
        <f t="shared" si="133"/>
        <v>Jharkhand</v>
      </c>
      <c r="AE894" t="str">
        <f t="shared" si="134"/>
        <v>Ranchi</v>
      </c>
      <c r="AF894" t="str">
        <f t="shared" si="135"/>
        <v>Technology</v>
      </c>
      <c r="AG894" t="str">
        <f t="shared" si="136"/>
        <v>Copiers</v>
      </c>
      <c r="AH894" t="str">
        <f t="shared" si="137"/>
        <v>Elite Copiers 221</v>
      </c>
      <c r="AI894" t="str">
        <f t="shared" si="138"/>
        <v>Same Day</v>
      </c>
      <c r="AJ894" s="3" t="str">
        <f t="shared" si="139"/>
        <v>Invalid</v>
      </c>
      <c r="AK894" t="str">
        <f t="shared" si="140"/>
        <v>invalid date</v>
      </c>
    </row>
    <row r="895" spans="1:37">
      <c r="A895" t="s">
        <v>4059</v>
      </c>
      <c r="B895" t="s">
        <v>4060</v>
      </c>
      <c r="C895" t="s">
        <v>4061</v>
      </c>
      <c r="D895" t="s">
        <v>4062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4063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  <c r="W895" t="s">
        <v>4059</v>
      </c>
      <c r="X895" t="str">
        <v>06-06-24</v>
      </c>
      <c r="Y895" t="str">
        <v>08-06-24</v>
      </c>
      <c r="Z895" t="s">
        <v>4062</v>
      </c>
      <c r="AA895" t="str">
        <v>Aarav Sharma</v>
      </c>
      <c r="AB895" t="str">
        <f t="shared" si="131"/>
        <v>Corporate</v>
      </c>
      <c r="AC895" t="str">
        <f t="shared" si="132"/>
        <v>South</v>
      </c>
      <c r="AD895" t="str">
        <f t="shared" si="133"/>
        <v>Karnataka</v>
      </c>
      <c r="AE895" t="str">
        <f t="shared" si="134"/>
        <v>Bengaluru</v>
      </c>
      <c r="AF895" t="str">
        <f t="shared" si="135"/>
        <v>Furniture</v>
      </c>
      <c r="AG895" t="str">
        <f t="shared" si="136"/>
        <v>Tables</v>
      </c>
      <c r="AH895" t="str">
        <f t="shared" si="137"/>
        <v>Max Tables 291</v>
      </c>
      <c r="AI895" t="str">
        <f t="shared" si="138"/>
        <v>Second Class</v>
      </c>
      <c r="AJ895" s="3" t="str">
        <f t="shared" si="139"/>
        <v>anomaly</v>
      </c>
      <c r="AK895">
        <f t="shared" si="140"/>
        <v>2</v>
      </c>
    </row>
    <row r="896" spans="1:37">
      <c r="A896" t="s">
        <v>4064</v>
      </c>
      <c r="B896" t="s">
        <v>1943</v>
      </c>
      <c r="C896" t="s">
        <v>4065</v>
      </c>
      <c r="D896" t="s">
        <v>4066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4067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  <c r="W896" t="s">
        <v>4064</v>
      </c>
      <c r="X896" t="str">
        <v>22-02-24</v>
      </c>
      <c r="Y896" t="str">
        <v>invalid date</v>
      </c>
      <c r="Z896" t="s">
        <v>4066</v>
      </c>
      <c r="AA896" t="str">
        <v>Isha Nair</v>
      </c>
      <c r="AB896" t="str">
        <f t="shared" si="131"/>
        <v>Home Office</v>
      </c>
      <c r="AC896" t="str">
        <f t="shared" si="132"/>
        <v>South</v>
      </c>
      <c r="AD896" t="str">
        <f t="shared" si="133"/>
        <v>Telangana</v>
      </c>
      <c r="AE896" t="str">
        <f t="shared" si="134"/>
        <v>Hyderabad</v>
      </c>
      <c r="AF896" t="str">
        <f t="shared" si="135"/>
        <v>Furniture</v>
      </c>
      <c r="AG896" t="str">
        <f t="shared" si="136"/>
        <v>Tables</v>
      </c>
      <c r="AH896" t="str">
        <f t="shared" si="137"/>
        <v>Classic Tables 638</v>
      </c>
      <c r="AI896" t="str">
        <f t="shared" si="138"/>
        <v>First Class</v>
      </c>
      <c r="AJ896" s="3" t="str">
        <f t="shared" si="139"/>
        <v>Invalid</v>
      </c>
      <c r="AK896" t="str">
        <f t="shared" si="140"/>
        <v>invalid date</v>
      </c>
    </row>
    <row r="897" spans="1:37">
      <c r="A897" t="s">
        <v>4068</v>
      </c>
      <c r="B897" t="s">
        <v>4069</v>
      </c>
      <c r="C897" t="s">
        <v>105</v>
      </c>
      <c r="D897" t="s">
        <v>4070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4071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  <c r="W897" t="s">
        <v>4068</v>
      </c>
      <c r="X897" t="str">
        <v>05-11-24</v>
      </c>
      <c r="Y897" t="str">
        <v>11-10-24</v>
      </c>
      <c r="Z897" t="s">
        <v>4070</v>
      </c>
      <c r="AA897" t="str">
        <v>Arjun Bose</v>
      </c>
      <c r="AB897" t="str">
        <f t="shared" si="131"/>
        <v>Consumer</v>
      </c>
      <c r="AC897" t="str">
        <f t="shared" si="132"/>
        <v>South</v>
      </c>
      <c r="AD897" t="str">
        <f t="shared" si="133"/>
        <v>Kerala</v>
      </c>
      <c r="AE897" t="str">
        <f t="shared" si="134"/>
        <v>Kochi</v>
      </c>
      <c r="AF897" t="str">
        <f t="shared" si="135"/>
        <v>Furniture</v>
      </c>
      <c r="AG897" t="str">
        <f t="shared" si="136"/>
        <v>Chairs</v>
      </c>
      <c r="AH897" t="str">
        <f t="shared" si="137"/>
        <v>Basic Chairs 212</v>
      </c>
      <c r="AI897" t="str">
        <f t="shared" si="138"/>
        <v>Same Day</v>
      </c>
      <c r="AJ897" s="3" t="str">
        <f t="shared" si="139"/>
        <v>anomaly</v>
      </c>
      <c r="AK897">
        <f t="shared" si="140"/>
        <v>-25</v>
      </c>
    </row>
    <row r="898" spans="1:37">
      <c r="A898" t="s">
        <v>4072</v>
      </c>
      <c r="B898" t="s">
        <v>4073</v>
      </c>
      <c r="C898" t="s">
        <v>2356</v>
      </c>
      <c r="D898" t="s">
        <v>4074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4075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  <c r="W898" t="s">
        <v>4072</v>
      </c>
      <c r="X898" t="str">
        <v>invalid date</v>
      </c>
      <c r="Y898" t="str">
        <v>25-12-24</v>
      </c>
      <c r="Z898" t="s">
        <v>4074</v>
      </c>
      <c r="AA898" t="str">
        <v>Ananya Rao</v>
      </c>
      <c r="AB898" t="str">
        <f t="shared" si="131"/>
        <v>Small Business</v>
      </c>
      <c r="AC898" t="str">
        <f t="shared" si="132"/>
        <v>South</v>
      </c>
      <c r="AD898" t="str">
        <f t="shared" si="133"/>
        <v>Tamil Nadu</v>
      </c>
      <c r="AE898" t="str">
        <f t="shared" si="134"/>
        <v>Chennai</v>
      </c>
      <c r="AF898" t="str">
        <f t="shared" si="135"/>
        <v>Technology</v>
      </c>
      <c r="AG898" t="str">
        <f t="shared" si="136"/>
        <v>Copiers</v>
      </c>
      <c r="AH898" t="str">
        <f t="shared" si="137"/>
        <v>Max Copiers 121</v>
      </c>
      <c r="AI898" t="str">
        <f t="shared" si="138"/>
        <v>Second Class</v>
      </c>
      <c r="AJ898" s="3" t="str">
        <f t="shared" si="139"/>
        <v>Invalid</v>
      </c>
      <c r="AK898" t="str">
        <f t="shared" si="140"/>
        <v>invalid date</v>
      </c>
    </row>
    <row r="899" spans="1:37">
      <c r="A899" t="s">
        <v>4076</v>
      </c>
      <c r="B899" t="s">
        <v>1179</v>
      </c>
      <c r="C899" t="s">
        <v>4077</v>
      </c>
      <c r="D899" t="s">
        <v>3198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4078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  <c r="W899" t="s">
        <v>4076</v>
      </c>
      <c r="X899" t="str">
        <v>invalid date</v>
      </c>
      <c r="Y899" t="str">
        <v>03-05-25</v>
      </c>
      <c r="Z899" t="s">
        <v>3198</v>
      </c>
      <c r="AA899" t="str">
        <v>Rohan Mehta</v>
      </c>
      <c r="AB899" t="str">
        <f t="shared" ref="AB899:AB933" si="141">TRIM(PROPER(F:F))</f>
        <v>Corporate</v>
      </c>
      <c r="AC899" t="str">
        <f t="shared" ref="AC899:AC933" si="142">TRIM(PROPER(G:G))</f>
        <v>North</v>
      </c>
      <c r="AD899" t="str">
        <f t="shared" ref="AD899:AD933" si="143">TRIM(PROPER(H:H))</f>
        <v>Haryana</v>
      </c>
      <c r="AE899" t="str">
        <f t="shared" ref="AE899:AE933" si="144">TRIM(PROPER(I:I))</f>
        <v>Gurugram</v>
      </c>
      <c r="AF899" t="str">
        <f t="shared" ref="AF899:AF933" si="145">TRIM(PROPER(J:J))</f>
        <v>Office Supplies</v>
      </c>
      <c r="AG899" t="str">
        <f t="shared" ref="AG899:AG933" si="146">TRIM(PROPER(K:K))</f>
        <v>Paper</v>
      </c>
      <c r="AH899" t="str">
        <f t="shared" ref="AH899:AH933" si="147">TRIM(PROPER(L:L))</f>
        <v>Eco Paper 747</v>
      </c>
      <c r="AI899" t="str">
        <f t="shared" ref="AI899:AI933" si="148">TRIM(PROPER(M:M))</f>
        <v>First Class</v>
      </c>
      <c r="AJ899" s="3" t="str">
        <f t="shared" ref="AJ899:AJ933" si="149">IF(OR(X:X="Invalid Date",Y:Y="Invalid Date"),"Invalid",(IF(X:X&lt;Y:Y,"anomaly", "  ")))</f>
        <v>Invalid</v>
      </c>
      <c r="AK899" t="str">
        <f t="shared" ref="AK899:AK933" si="150">IFERROR(Y899-X899, "invalid date")</f>
        <v>invalid date</v>
      </c>
    </row>
    <row r="900" spans="1:37">
      <c r="A900" t="s">
        <v>4079</v>
      </c>
      <c r="B900" t="s">
        <v>3642</v>
      </c>
      <c r="C900" t="s">
        <v>50</v>
      </c>
      <c r="D900" t="s">
        <v>4080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4081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  <c r="W900" t="s">
        <v>4079</v>
      </c>
      <c r="X900" t="str">
        <v>02-06-24</v>
      </c>
      <c r="Y900" t="str">
        <v>06-08-24</v>
      </c>
      <c r="Z900" t="s">
        <v>4080</v>
      </c>
      <c r="AA900" t="str">
        <v>Vikram Iyer</v>
      </c>
      <c r="AB900" t="str">
        <f t="shared" si="141"/>
        <v>Consumer</v>
      </c>
      <c r="AC900" t="str">
        <f t="shared" si="142"/>
        <v>North</v>
      </c>
      <c r="AD900" t="str">
        <f t="shared" si="143"/>
        <v>Delhi</v>
      </c>
      <c r="AE900" t="str">
        <f t="shared" si="144"/>
        <v>New Delhi</v>
      </c>
      <c r="AF900" t="str">
        <f t="shared" si="145"/>
        <v>Furniture</v>
      </c>
      <c r="AG900" t="str">
        <f t="shared" si="146"/>
        <v>Tables</v>
      </c>
      <c r="AH900" t="str">
        <f t="shared" si="147"/>
        <v>Classic Tables 535</v>
      </c>
      <c r="AI900" t="str">
        <f t="shared" si="148"/>
        <v>First Class</v>
      </c>
      <c r="AJ900" s="3" t="str">
        <f t="shared" si="149"/>
        <v>anomaly</v>
      </c>
      <c r="AK900">
        <f t="shared" si="150"/>
        <v>65</v>
      </c>
    </row>
    <row r="901" spans="1:37">
      <c r="A901" t="s">
        <v>4082</v>
      </c>
      <c r="B901" t="s">
        <v>1680</v>
      </c>
      <c r="C901" t="s">
        <v>4083</v>
      </c>
      <c r="D901" t="s">
        <v>4084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4085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  <c r="W901" t="s">
        <v>4082</v>
      </c>
      <c r="X901" t="str">
        <v>27-05-25</v>
      </c>
      <c r="Y901" t="str">
        <v>06-03-25</v>
      </c>
      <c r="Z901" t="s">
        <v>4084</v>
      </c>
      <c r="AA901" t="str">
        <v>Karan Malhotra</v>
      </c>
      <c r="AB901" t="str">
        <f t="shared" si="141"/>
        <v>Consumer</v>
      </c>
      <c r="AC901" t="str">
        <f t="shared" si="142"/>
        <v>North</v>
      </c>
      <c r="AD901" t="str">
        <f t="shared" si="143"/>
        <v>Punjab</v>
      </c>
      <c r="AE901" t="str">
        <f t="shared" si="144"/>
        <v>Ludhiana</v>
      </c>
      <c r="AF901" t="str">
        <f t="shared" si="145"/>
        <v>Furniture</v>
      </c>
      <c r="AG901" t="str">
        <f t="shared" si="146"/>
        <v>Chairs</v>
      </c>
      <c r="AH901" t="str">
        <f t="shared" si="147"/>
        <v>Elite Chairs 971</v>
      </c>
      <c r="AI901" t="str">
        <f t="shared" si="148"/>
        <v>First Class</v>
      </c>
      <c r="AJ901" s="3" t="str">
        <f t="shared" si="149"/>
        <v xml:space="preserve">  </v>
      </c>
      <c r="AK901">
        <f t="shared" si="150"/>
        <v>-82</v>
      </c>
    </row>
    <row r="902" spans="1:37">
      <c r="A902" t="s">
        <v>2439</v>
      </c>
      <c r="B902" t="s">
        <v>2440</v>
      </c>
      <c r="C902" t="s">
        <v>2441</v>
      </c>
      <c r="D902" t="s">
        <v>2442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2443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  <c r="W902" t="s">
        <v>2439</v>
      </c>
      <c r="X902" t="str">
        <v>04-01-24</v>
      </c>
      <c r="Y902" t="str">
        <v>09-04-24</v>
      </c>
      <c r="Z902" t="s">
        <v>2442</v>
      </c>
      <c r="AA902" t="str">
        <v>Priya Menon</v>
      </c>
      <c r="AB902" t="str">
        <f t="shared" si="141"/>
        <v>Small Business</v>
      </c>
      <c r="AC902" t="str">
        <f t="shared" si="142"/>
        <v>East</v>
      </c>
      <c r="AD902" t="str">
        <f t="shared" si="143"/>
        <v>Odisha</v>
      </c>
      <c r="AE902" t="str">
        <f t="shared" si="144"/>
        <v>Bhubaneswar</v>
      </c>
      <c r="AF902" t="str">
        <f t="shared" si="145"/>
        <v>Technology</v>
      </c>
      <c r="AG902" t="str">
        <f t="shared" si="146"/>
        <v>Copiers</v>
      </c>
      <c r="AH902" t="str">
        <f t="shared" si="147"/>
        <v>Prime Copiers 557</v>
      </c>
      <c r="AI902" t="str">
        <f t="shared" si="148"/>
        <v>Second Class</v>
      </c>
      <c r="AJ902" s="3" t="str">
        <f t="shared" si="149"/>
        <v>anomaly</v>
      </c>
      <c r="AK902">
        <f t="shared" si="150"/>
        <v>96</v>
      </c>
    </row>
    <row r="903" spans="1:37">
      <c r="A903" t="s">
        <v>2854</v>
      </c>
      <c r="B903" t="s">
        <v>2437</v>
      </c>
      <c r="C903" t="s">
        <v>2855</v>
      </c>
      <c r="D903" t="s">
        <v>2856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2857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  <c r="W903" t="s">
        <v>2854</v>
      </c>
      <c r="X903" t="str">
        <v>invalid date</v>
      </c>
      <c r="Y903" t="str">
        <v>invalid date</v>
      </c>
      <c r="Z903" t="s">
        <v>2856</v>
      </c>
      <c r="AA903" t="str">
        <v>Ananya Rao</v>
      </c>
      <c r="AB903" t="str">
        <f t="shared" si="141"/>
        <v>Corporate</v>
      </c>
      <c r="AC903" t="str">
        <f t="shared" si="142"/>
        <v>East</v>
      </c>
      <c r="AD903" t="str">
        <f t="shared" si="143"/>
        <v>West Bengal</v>
      </c>
      <c r="AE903" t="str">
        <f t="shared" si="144"/>
        <v>Kolkata</v>
      </c>
      <c r="AF903" t="str">
        <f t="shared" si="145"/>
        <v>Technology</v>
      </c>
      <c r="AG903" t="str">
        <f t="shared" si="146"/>
        <v>Copiers</v>
      </c>
      <c r="AH903" t="str">
        <f t="shared" si="147"/>
        <v>Eco Copiers 268</v>
      </c>
      <c r="AI903" t="str">
        <f t="shared" si="148"/>
        <v>Same Day</v>
      </c>
      <c r="AJ903" s="3" t="str">
        <f t="shared" si="149"/>
        <v>Invalid</v>
      </c>
      <c r="AK903" t="str">
        <f t="shared" si="150"/>
        <v>invalid date</v>
      </c>
    </row>
    <row r="904" spans="1:37">
      <c r="A904" t="s">
        <v>3256</v>
      </c>
      <c r="B904" t="s">
        <v>1728</v>
      </c>
      <c r="C904" t="s">
        <v>3077</v>
      </c>
      <c r="D904" t="s">
        <v>1736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3257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  <c r="W904" t="s">
        <v>3256</v>
      </c>
      <c r="X904" t="str">
        <v>01-08-25</v>
      </c>
      <c r="Y904" t="str">
        <v>09-08-25</v>
      </c>
      <c r="Z904" t="s">
        <v>1736</v>
      </c>
      <c r="AA904" t="str">
        <v>Isha Nair</v>
      </c>
      <c r="AB904" t="str">
        <f t="shared" si="141"/>
        <v>Consumer</v>
      </c>
      <c r="AC904" t="str">
        <f t="shared" si="142"/>
        <v>South</v>
      </c>
      <c r="AD904" t="str">
        <f t="shared" si="143"/>
        <v>Andhra Pradesh</v>
      </c>
      <c r="AE904" t="str">
        <f t="shared" si="144"/>
        <v>Vijayawada</v>
      </c>
      <c r="AF904" t="str">
        <f t="shared" si="145"/>
        <v>Office Supplies</v>
      </c>
      <c r="AG904" t="str">
        <f t="shared" si="146"/>
        <v>Storage</v>
      </c>
      <c r="AH904" t="str">
        <f t="shared" si="147"/>
        <v>Classic Storage 291</v>
      </c>
      <c r="AI904" t="str">
        <f t="shared" si="148"/>
        <v>First Class</v>
      </c>
      <c r="AJ904" s="3" t="str">
        <f t="shared" si="149"/>
        <v>anomaly</v>
      </c>
      <c r="AK904">
        <f t="shared" si="150"/>
        <v>8</v>
      </c>
    </row>
    <row r="905" spans="1:37">
      <c r="A905" t="s">
        <v>3294</v>
      </c>
      <c r="B905" t="s">
        <v>1556</v>
      </c>
      <c r="C905" t="s">
        <v>3295</v>
      </c>
      <c r="D905" t="s">
        <v>3296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3297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  <c r="W905" t="s">
        <v>3294</v>
      </c>
      <c r="X905" t="str">
        <v>13-03-24</v>
      </c>
      <c r="Y905" t="str">
        <v>invalid date</v>
      </c>
      <c r="Z905" t="s">
        <v>3296</v>
      </c>
      <c r="AA905" t="str">
        <v>Priya Menon</v>
      </c>
      <c r="AB905" t="str">
        <f t="shared" si="141"/>
        <v>Home Office</v>
      </c>
      <c r="AC905" t="str">
        <f t="shared" si="142"/>
        <v>South</v>
      </c>
      <c r="AD905" t="str">
        <f t="shared" si="143"/>
        <v>Tamil Nadu</v>
      </c>
      <c r="AE905" t="str">
        <f t="shared" si="144"/>
        <v>Chennai</v>
      </c>
      <c r="AF905" t="str">
        <f t="shared" si="145"/>
        <v>Furniture</v>
      </c>
      <c r="AG905" t="str">
        <f t="shared" si="146"/>
        <v>Bookcases</v>
      </c>
      <c r="AH905" t="str">
        <f t="shared" si="147"/>
        <v>Max Bookcases 738</v>
      </c>
      <c r="AI905" s="5" t="s">
        <v>4116</v>
      </c>
      <c r="AJ905" s="3" t="str">
        <f t="shared" si="149"/>
        <v>Invalid</v>
      </c>
      <c r="AK905" t="str">
        <f t="shared" si="150"/>
        <v>invalid date</v>
      </c>
    </row>
    <row r="906" spans="1:37">
      <c r="A906" t="s">
        <v>1425</v>
      </c>
      <c r="B906" t="s">
        <v>1057</v>
      </c>
      <c r="C906" t="s">
        <v>1426</v>
      </c>
      <c r="D906" t="s">
        <v>1427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1428</v>
      </c>
      <c r="M906" t="s">
        <v>33</v>
      </c>
      <c r="N906">
        <v>6</v>
      </c>
      <c r="O906">
        <v>3391.53</v>
      </c>
      <c r="P906" s="5" t="s">
        <v>4117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  <c r="W906" t="s">
        <v>1425</v>
      </c>
      <c r="X906" t="str">
        <v>22-01-24</v>
      </c>
      <c r="Y906" t="str">
        <v>23-01-24</v>
      </c>
      <c r="Z906" t="s">
        <v>1427</v>
      </c>
      <c r="AA906" t="str">
        <v>Aarav Sharma</v>
      </c>
      <c r="AB906" t="str">
        <f t="shared" si="141"/>
        <v>Small Business</v>
      </c>
      <c r="AC906" s="5" t="s">
        <v>4116</v>
      </c>
      <c r="AD906" t="str">
        <f t="shared" si="143"/>
        <v>Assam</v>
      </c>
      <c r="AE906" t="str">
        <f t="shared" si="144"/>
        <v>Guwahati</v>
      </c>
      <c r="AF906" t="str">
        <f t="shared" si="145"/>
        <v>Furniture</v>
      </c>
      <c r="AG906" t="str">
        <f t="shared" si="146"/>
        <v>Chairs</v>
      </c>
      <c r="AH906" t="str">
        <f t="shared" si="147"/>
        <v>Basic Chairs 141</v>
      </c>
      <c r="AI906" t="str">
        <f t="shared" si="148"/>
        <v>Second Class</v>
      </c>
      <c r="AJ906" s="3" t="str">
        <f t="shared" si="149"/>
        <v>anomaly</v>
      </c>
      <c r="AK906">
        <f t="shared" si="150"/>
        <v>1</v>
      </c>
    </row>
    <row r="907" spans="1:37">
      <c r="A907" t="s">
        <v>2992</v>
      </c>
      <c r="B907" t="s">
        <v>2993</v>
      </c>
      <c r="C907" t="s">
        <v>2994</v>
      </c>
      <c r="D907" t="s">
        <v>2995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2996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  <c r="W907" t="s">
        <v>2992</v>
      </c>
      <c r="X907" t="str">
        <v>15-04-25</v>
      </c>
      <c r="Y907" t="str">
        <v>16-04-25</v>
      </c>
      <c r="Z907" t="s">
        <v>2995</v>
      </c>
      <c r="AA907" t="str">
        <v>Sneha Kapoor</v>
      </c>
      <c r="AB907" t="str">
        <f t="shared" si="141"/>
        <v>Small Business</v>
      </c>
      <c r="AC907" t="str">
        <f t="shared" si="142"/>
        <v>South</v>
      </c>
      <c r="AD907" t="str">
        <f t="shared" si="143"/>
        <v>Karnataka</v>
      </c>
      <c r="AE907" t="str">
        <f t="shared" si="144"/>
        <v>Bengaluru</v>
      </c>
      <c r="AF907" t="str">
        <f t="shared" si="145"/>
        <v>Furniture</v>
      </c>
      <c r="AG907" t="str">
        <f t="shared" si="146"/>
        <v>Furnishings</v>
      </c>
      <c r="AH907" t="str">
        <f t="shared" si="147"/>
        <v>Smart Furnishings 721</v>
      </c>
      <c r="AI907" t="str">
        <f t="shared" si="148"/>
        <v>First Class</v>
      </c>
      <c r="AJ907" s="3" t="str">
        <f t="shared" si="149"/>
        <v>anomaly</v>
      </c>
      <c r="AK907">
        <f t="shared" si="150"/>
        <v>1</v>
      </c>
    </row>
    <row r="908" spans="1:37">
      <c r="A908" t="s">
        <v>3391</v>
      </c>
      <c r="B908" t="s">
        <v>3392</v>
      </c>
      <c r="C908" t="s">
        <v>3393</v>
      </c>
      <c r="D908" t="s">
        <v>3394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3395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  <c r="W908" t="s">
        <v>3391</v>
      </c>
      <c r="X908" t="str">
        <v>17-05-25</v>
      </c>
      <c r="Y908" t="str">
        <v>25-05-25</v>
      </c>
      <c r="Z908" t="s">
        <v>3394</v>
      </c>
      <c r="AA908" t="str">
        <v>Ananya Rao</v>
      </c>
      <c r="AB908" t="str">
        <f t="shared" si="141"/>
        <v>Corporate</v>
      </c>
      <c r="AC908" t="str">
        <f t="shared" si="142"/>
        <v>South</v>
      </c>
      <c r="AD908" t="str">
        <f t="shared" si="143"/>
        <v>Tamil Nadu</v>
      </c>
      <c r="AE908" t="str">
        <f t="shared" si="144"/>
        <v>Chennai</v>
      </c>
      <c r="AF908" t="str">
        <f t="shared" si="145"/>
        <v>Technology</v>
      </c>
      <c r="AG908" t="str">
        <f t="shared" si="146"/>
        <v>Machines</v>
      </c>
      <c r="AH908" t="str">
        <f t="shared" si="147"/>
        <v>Pro Machines 563</v>
      </c>
      <c r="AI908" t="str">
        <f t="shared" si="148"/>
        <v>Same Day</v>
      </c>
      <c r="AJ908" s="3" t="str">
        <f t="shared" si="149"/>
        <v>anomaly</v>
      </c>
      <c r="AK908">
        <f t="shared" si="150"/>
        <v>8</v>
      </c>
    </row>
    <row r="909" spans="1:37">
      <c r="A909" t="s">
        <v>754</v>
      </c>
      <c r="B909" t="s">
        <v>755</v>
      </c>
      <c r="C909" t="s">
        <v>756</v>
      </c>
      <c r="D909" t="s">
        <v>757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758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  <c r="W909" t="s">
        <v>754</v>
      </c>
      <c r="X909" t="str">
        <v>13-12-24</v>
      </c>
      <c r="Y909" t="str">
        <v>invalid date</v>
      </c>
      <c r="Z909" t="s">
        <v>757</v>
      </c>
      <c r="AA909" t="str">
        <v>Karan Malhotra</v>
      </c>
      <c r="AB909" t="str">
        <f t="shared" si="141"/>
        <v>Consumer</v>
      </c>
      <c r="AC909" t="str">
        <f t="shared" si="142"/>
        <v>West</v>
      </c>
      <c r="AD909" t="str">
        <f t="shared" si="143"/>
        <v>Goa</v>
      </c>
      <c r="AE909" t="str">
        <f t="shared" si="144"/>
        <v>Panaji</v>
      </c>
      <c r="AF909" t="str">
        <f t="shared" si="145"/>
        <v>Technology</v>
      </c>
      <c r="AG909" t="str">
        <f t="shared" si="146"/>
        <v>Phones</v>
      </c>
      <c r="AH909" t="str">
        <f t="shared" si="147"/>
        <v>Prime Phones 419</v>
      </c>
      <c r="AI909" t="str">
        <f t="shared" si="148"/>
        <v>Second Class</v>
      </c>
      <c r="AJ909" s="3" t="str">
        <f t="shared" si="149"/>
        <v>Invalid</v>
      </c>
      <c r="AK909" t="str">
        <f t="shared" si="150"/>
        <v>invalid date</v>
      </c>
    </row>
    <row r="910" spans="1:37">
      <c r="A910" t="s">
        <v>3353</v>
      </c>
      <c r="B910" t="s">
        <v>1722</v>
      </c>
      <c r="C910" t="s">
        <v>1723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3354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  <c r="W910" t="s">
        <v>3353</v>
      </c>
      <c r="X910" t="str">
        <v>08-09-25</v>
      </c>
      <c r="Y910" t="str">
        <v>09-09-25</v>
      </c>
      <c r="Z910" t="s">
        <v>185</v>
      </c>
      <c r="AA910" t="str">
        <v>Kabir Singh</v>
      </c>
      <c r="AB910" t="str">
        <f t="shared" si="141"/>
        <v>Corporate</v>
      </c>
      <c r="AC910" t="str">
        <f t="shared" si="142"/>
        <v>West</v>
      </c>
      <c r="AD910" t="str">
        <f t="shared" si="143"/>
        <v>Gujarat</v>
      </c>
      <c r="AE910" t="str">
        <f t="shared" si="144"/>
        <v>Ahmedabad</v>
      </c>
      <c r="AF910" t="str">
        <f t="shared" si="145"/>
        <v>Office Supplies</v>
      </c>
      <c r="AG910" t="str">
        <f t="shared" si="146"/>
        <v>Art</v>
      </c>
      <c r="AH910" t="str">
        <f t="shared" si="147"/>
        <v>Pro Art 447</v>
      </c>
      <c r="AI910" t="str">
        <f t="shared" si="148"/>
        <v>Same Day</v>
      </c>
      <c r="AJ910" s="3" t="str">
        <f t="shared" si="149"/>
        <v>anomaly</v>
      </c>
      <c r="AK910">
        <f t="shared" si="150"/>
        <v>1</v>
      </c>
    </row>
    <row r="911" spans="1:37">
      <c r="A911" t="s">
        <v>1974</v>
      </c>
      <c r="B911" t="s">
        <v>1975</v>
      </c>
      <c r="C911" t="s">
        <v>1976</v>
      </c>
      <c r="D911" t="s">
        <v>1977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1978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  <c r="W911" t="s">
        <v>1974</v>
      </c>
      <c r="X911" t="str">
        <v>invalid date</v>
      </c>
      <c r="Y911" t="str">
        <v>29-04-25</v>
      </c>
      <c r="Z911" t="s">
        <v>1977</v>
      </c>
      <c r="AA911" t="str">
        <v>Diya Patel</v>
      </c>
      <c r="AB911" t="str">
        <f t="shared" si="141"/>
        <v>Small Business</v>
      </c>
      <c r="AC911" t="str">
        <f t="shared" si="142"/>
        <v>South</v>
      </c>
      <c r="AD911" t="str">
        <f t="shared" si="143"/>
        <v>Andhra Pradesh</v>
      </c>
      <c r="AE911" t="str">
        <f t="shared" si="144"/>
        <v>Vijayawada</v>
      </c>
      <c r="AF911" t="str">
        <f t="shared" si="145"/>
        <v>Office Supplies</v>
      </c>
      <c r="AG911" t="str">
        <f t="shared" si="146"/>
        <v>Paper</v>
      </c>
      <c r="AH911" t="str">
        <f t="shared" si="147"/>
        <v>Elite Paper 308</v>
      </c>
      <c r="AI911" t="str">
        <f t="shared" si="148"/>
        <v>Same Day</v>
      </c>
      <c r="AJ911" s="3" t="str">
        <f t="shared" si="149"/>
        <v>Invalid</v>
      </c>
      <c r="AK911" t="str">
        <f t="shared" si="150"/>
        <v>invalid date</v>
      </c>
    </row>
    <row r="912" spans="1:37">
      <c r="A912" t="s">
        <v>707</v>
      </c>
      <c r="B912" t="s">
        <v>708</v>
      </c>
      <c r="C912" t="s">
        <v>709</v>
      </c>
      <c r="D912" t="s">
        <v>710</v>
      </c>
      <c r="E912" t="s">
        <v>168</v>
      </c>
      <c r="F912" t="s">
        <v>41</v>
      </c>
      <c r="G912" t="s">
        <v>711</v>
      </c>
      <c r="H912" t="s">
        <v>154</v>
      </c>
      <c r="I912" t="s">
        <v>155</v>
      </c>
      <c r="J912" t="s">
        <v>86</v>
      </c>
      <c r="K912" t="s">
        <v>94</v>
      </c>
      <c r="L912" t="s">
        <v>712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  <c r="W912" t="s">
        <v>707</v>
      </c>
      <c r="X912" t="str">
        <v>invalid date</v>
      </c>
      <c r="Y912" t="str">
        <v>25-05-24</v>
      </c>
      <c r="Z912" t="s">
        <v>710</v>
      </c>
      <c r="AA912" t="str">
        <v>Sneha Kapoor</v>
      </c>
      <c r="AB912" t="str">
        <f t="shared" si="141"/>
        <v>Small Business</v>
      </c>
      <c r="AC912" t="str">
        <f t="shared" si="142"/>
        <v>North</v>
      </c>
      <c r="AD912" t="str">
        <f t="shared" si="143"/>
        <v>Punjab</v>
      </c>
      <c r="AE912" t="str">
        <f t="shared" si="144"/>
        <v>Ludhiana</v>
      </c>
      <c r="AF912" t="str">
        <f t="shared" si="145"/>
        <v>Technology</v>
      </c>
      <c r="AG912" t="str">
        <f t="shared" si="146"/>
        <v>Copiers</v>
      </c>
      <c r="AH912" t="str">
        <f t="shared" si="147"/>
        <v>Max Copiers 970</v>
      </c>
      <c r="AI912" t="str">
        <f t="shared" si="148"/>
        <v>Same Day</v>
      </c>
      <c r="AJ912" s="3" t="str">
        <f t="shared" si="149"/>
        <v>Invalid</v>
      </c>
      <c r="AK912" t="str">
        <f t="shared" si="150"/>
        <v>invalid date</v>
      </c>
    </row>
    <row r="913" spans="1:37">
      <c r="A913" t="s">
        <v>1308</v>
      </c>
      <c r="B913" t="s">
        <v>1309</v>
      </c>
      <c r="C913" t="s">
        <v>1310</v>
      </c>
      <c r="D913" t="s">
        <v>1311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1312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  <c r="W913" t="s">
        <v>1308</v>
      </c>
      <c r="X913" t="str">
        <v>invalid date</v>
      </c>
      <c r="Y913" t="str">
        <v>invalid date</v>
      </c>
      <c r="Z913" t="s">
        <v>1311</v>
      </c>
      <c r="AA913" t="str">
        <v>Arjun Bose</v>
      </c>
      <c r="AB913" t="str">
        <f t="shared" si="141"/>
        <v>Small Business</v>
      </c>
      <c r="AC913" t="str">
        <f t="shared" si="142"/>
        <v>East</v>
      </c>
      <c r="AD913" t="str">
        <f t="shared" si="143"/>
        <v>West Bengal</v>
      </c>
      <c r="AE913" t="str">
        <f t="shared" si="144"/>
        <v>Kolkata</v>
      </c>
      <c r="AF913" t="str">
        <f t="shared" si="145"/>
        <v>Furniture</v>
      </c>
      <c r="AG913" t="str">
        <f t="shared" si="146"/>
        <v>Furnishings</v>
      </c>
      <c r="AH913" t="str">
        <f t="shared" si="147"/>
        <v>Prime Furnishings 781</v>
      </c>
      <c r="AI913" t="str">
        <f t="shared" si="148"/>
        <v>Standard Class</v>
      </c>
      <c r="AJ913" s="3" t="str">
        <f t="shared" si="149"/>
        <v>Invalid</v>
      </c>
      <c r="AK913" t="str">
        <f t="shared" si="150"/>
        <v>invalid date</v>
      </c>
    </row>
    <row r="914" spans="1:37">
      <c r="A914" t="s">
        <v>1877</v>
      </c>
      <c r="B914" t="s">
        <v>1519</v>
      </c>
      <c r="C914" t="s">
        <v>1878</v>
      </c>
      <c r="D914" t="s">
        <v>1879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1880</v>
      </c>
      <c r="L914" t="s">
        <v>1881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  <c r="W914" t="s">
        <v>1877</v>
      </c>
      <c r="X914" t="str">
        <v>24-05-25</v>
      </c>
      <c r="Y914" t="str">
        <v>30-05-25</v>
      </c>
      <c r="Z914" t="s">
        <v>1879</v>
      </c>
      <c r="AA914" t="str">
        <v>Kabir Singh</v>
      </c>
      <c r="AB914" t="str">
        <f t="shared" si="141"/>
        <v>Small Business</v>
      </c>
      <c r="AC914" t="str">
        <f t="shared" si="142"/>
        <v>East</v>
      </c>
      <c r="AD914" t="str">
        <f t="shared" si="143"/>
        <v>Odisha</v>
      </c>
      <c r="AE914" t="str">
        <f t="shared" si="144"/>
        <v>Bhubaneswar</v>
      </c>
      <c r="AF914" t="str">
        <f t="shared" si="145"/>
        <v>Office Supplies</v>
      </c>
      <c r="AG914" t="str">
        <f t="shared" si="146"/>
        <v>Storage</v>
      </c>
      <c r="AH914" t="str">
        <f t="shared" si="147"/>
        <v>Basic Storage 360</v>
      </c>
      <c r="AI914" t="str">
        <f t="shared" si="148"/>
        <v>Same Day</v>
      </c>
      <c r="AJ914" s="3" t="str">
        <f t="shared" si="149"/>
        <v>anomaly</v>
      </c>
      <c r="AK914">
        <f t="shared" si="150"/>
        <v>6</v>
      </c>
    </row>
    <row r="915" spans="1:37">
      <c r="A915" t="s">
        <v>1441</v>
      </c>
      <c r="B915" t="s">
        <v>1442</v>
      </c>
      <c r="C915" t="s">
        <v>1443</v>
      </c>
      <c r="D915" t="s">
        <v>1444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1445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  <c r="W915" t="s">
        <v>1441</v>
      </c>
      <c r="X915" t="str">
        <v>invalid date</v>
      </c>
      <c r="Y915" t="str">
        <v>26-12-24</v>
      </c>
      <c r="Z915" t="s">
        <v>1444</v>
      </c>
      <c r="AA915" t="str">
        <v>Aditi Sen</v>
      </c>
      <c r="AB915" t="str">
        <f t="shared" si="141"/>
        <v>Consumer</v>
      </c>
      <c r="AC915" t="str">
        <f t="shared" si="142"/>
        <v>South</v>
      </c>
      <c r="AD915" t="str">
        <f t="shared" si="143"/>
        <v>Karnataka</v>
      </c>
      <c r="AE915" t="str">
        <f t="shared" si="144"/>
        <v>Bengaluru</v>
      </c>
      <c r="AF915" t="str">
        <f t="shared" si="145"/>
        <v>Technology</v>
      </c>
      <c r="AG915" t="str">
        <f t="shared" si="146"/>
        <v>Copiers</v>
      </c>
      <c r="AH915" t="str">
        <f t="shared" si="147"/>
        <v>Prime Copiers 961</v>
      </c>
      <c r="AI915" t="str">
        <f t="shared" si="148"/>
        <v>Standard Class</v>
      </c>
      <c r="AJ915" s="3" t="str">
        <f t="shared" si="149"/>
        <v>Invalid</v>
      </c>
      <c r="AK915" t="str">
        <f t="shared" si="150"/>
        <v>invalid date</v>
      </c>
    </row>
    <row r="916" spans="1:37">
      <c r="A916" t="s">
        <v>3328</v>
      </c>
      <c r="B916" t="s">
        <v>2127</v>
      </c>
      <c r="C916" t="s">
        <v>3329</v>
      </c>
      <c r="D916" t="s">
        <v>3330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3331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  <c r="W916" t="s">
        <v>3328</v>
      </c>
      <c r="X916" t="str">
        <v>10-02-24</v>
      </c>
      <c r="Y916" t="str">
        <v>18-02-24</v>
      </c>
      <c r="Z916" t="s">
        <v>3330</v>
      </c>
      <c r="AA916" t="str">
        <v>Isha Nair</v>
      </c>
      <c r="AB916" t="str">
        <f t="shared" si="141"/>
        <v>Home Office</v>
      </c>
      <c r="AC916" t="str">
        <f t="shared" si="142"/>
        <v>West</v>
      </c>
      <c r="AD916" t="str">
        <f t="shared" si="143"/>
        <v>Madhya Pradesh</v>
      </c>
      <c r="AE916" t="str">
        <f t="shared" si="144"/>
        <v>Indore</v>
      </c>
      <c r="AF916" t="str">
        <f t="shared" si="145"/>
        <v>Furniture</v>
      </c>
      <c r="AG916" t="str">
        <f t="shared" si="146"/>
        <v>Chairs</v>
      </c>
      <c r="AH916" t="str">
        <f t="shared" si="147"/>
        <v>Smart Chairs 259</v>
      </c>
      <c r="AI916" t="str">
        <f t="shared" si="148"/>
        <v>First Class</v>
      </c>
      <c r="AJ916" s="3" t="str">
        <f t="shared" si="149"/>
        <v>anomaly</v>
      </c>
      <c r="AK916">
        <f t="shared" si="150"/>
        <v>8</v>
      </c>
    </row>
    <row r="917" spans="1:37">
      <c r="A917" t="s">
        <v>2646</v>
      </c>
      <c r="B917" t="s">
        <v>2647</v>
      </c>
      <c r="C917" t="s">
        <v>2648</v>
      </c>
      <c r="D917" t="s">
        <v>2649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2650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  <c r="W917" t="s">
        <v>2646</v>
      </c>
      <c r="X917" t="str">
        <v>10-11-25</v>
      </c>
      <c r="Y917" t="str">
        <v>13-10-25</v>
      </c>
      <c r="Z917" t="s">
        <v>2649</v>
      </c>
      <c r="AA917" t="str">
        <v>Mira Das</v>
      </c>
      <c r="AB917" t="str">
        <f t="shared" si="141"/>
        <v>Corporate</v>
      </c>
      <c r="AC917" t="str">
        <f t="shared" si="142"/>
        <v>South</v>
      </c>
      <c r="AD917" t="str">
        <f t="shared" si="143"/>
        <v>Telangana</v>
      </c>
      <c r="AE917" t="str">
        <f t="shared" si="144"/>
        <v>Hyderabad</v>
      </c>
      <c r="AF917" t="str">
        <f t="shared" si="145"/>
        <v>Office Supplies</v>
      </c>
      <c r="AG917" t="str">
        <f t="shared" si="146"/>
        <v>Art</v>
      </c>
      <c r="AH917" t="str">
        <f t="shared" si="147"/>
        <v>Pro Art 287</v>
      </c>
      <c r="AI917" t="str">
        <f t="shared" si="148"/>
        <v>Second Class</v>
      </c>
      <c r="AJ917" s="3" t="str">
        <f t="shared" si="149"/>
        <v>anomaly</v>
      </c>
      <c r="AK917">
        <f t="shared" si="150"/>
        <v>-28</v>
      </c>
    </row>
    <row r="918" spans="1:37">
      <c r="A918" t="s">
        <v>3888</v>
      </c>
      <c r="B918" t="s">
        <v>3889</v>
      </c>
      <c r="C918" t="s">
        <v>1070</v>
      </c>
      <c r="D918" t="s">
        <v>3890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3891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  <c r="W918" t="s">
        <v>3888</v>
      </c>
      <c r="X918" t="str">
        <v>06-03-24</v>
      </c>
      <c r="Y918" t="str">
        <v>12-03-24</v>
      </c>
      <c r="Z918" t="s">
        <v>3890</v>
      </c>
      <c r="AA918" t="str">
        <v>Isha Nair</v>
      </c>
      <c r="AB918" t="str">
        <f t="shared" si="141"/>
        <v>Home Office</v>
      </c>
      <c r="AC918" t="str">
        <f t="shared" si="142"/>
        <v>West</v>
      </c>
      <c r="AD918" t="str">
        <f t="shared" si="143"/>
        <v>Gujarat</v>
      </c>
      <c r="AE918" t="str">
        <f t="shared" si="144"/>
        <v>Ahmedabad</v>
      </c>
      <c r="AF918" t="str">
        <f t="shared" si="145"/>
        <v>Furniture</v>
      </c>
      <c r="AG918" t="str">
        <f t="shared" si="146"/>
        <v>Bookcases</v>
      </c>
      <c r="AH918" t="str">
        <f t="shared" si="147"/>
        <v>Prime Bookcases 755</v>
      </c>
      <c r="AI918" t="str">
        <f t="shared" si="148"/>
        <v>Standard Class</v>
      </c>
      <c r="AJ918" s="3" t="str">
        <f t="shared" si="149"/>
        <v>anomaly</v>
      </c>
      <c r="AK918">
        <f t="shared" si="150"/>
        <v>6</v>
      </c>
    </row>
    <row r="919" spans="1:37">
      <c r="A919" t="s">
        <v>727</v>
      </c>
      <c r="B919" t="s">
        <v>191</v>
      </c>
      <c r="C919" t="s">
        <v>728</v>
      </c>
      <c r="D919" t="s">
        <v>729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730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  <c r="W919" t="s">
        <v>727</v>
      </c>
      <c r="X919" t="str">
        <v>invalid date</v>
      </c>
      <c r="Y919" t="str">
        <v>26-01-25</v>
      </c>
      <c r="Z919" t="s">
        <v>729</v>
      </c>
      <c r="AA919" t="str">
        <v>Priya Menon</v>
      </c>
      <c r="AB919" t="str">
        <f t="shared" si="141"/>
        <v>Corporate</v>
      </c>
      <c r="AC919" t="str">
        <f t="shared" si="142"/>
        <v>West</v>
      </c>
      <c r="AD919" t="str">
        <f t="shared" si="143"/>
        <v>Madhya Pradesh</v>
      </c>
      <c r="AE919" t="str">
        <f t="shared" si="144"/>
        <v>Indore</v>
      </c>
      <c r="AF919" t="str">
        <f t="shared" si="145"/>
        <v>Office Supplies</v>
      </c>
      <c r="AG919" t="str">
        <f t="shared" si="146"/>
        <v>Storage</v>
      </c>
      <c r="AH919" t="str">
        <f t="shared" si="147"/>
        <v>Basic Storage 321</v>
      </c>
      <c r="AI919" t="str">
        <f t="shared" si="148"/>
        <v>Second Class</v>
      </c>
      <c r="AJ919" s="3" t="str">
        <f t="shared" si="149"/>
        <v>Invalid</v>
      </c>
      <c r="AK919" t="str">
        <f t="shared" si="150"/>
        <v>invalid date</v>
      </c>
    </row>
    <row r="920" spans="1:37">
      <c r="A920" t="s">
        <v>3182</v>
      </c>
      <c r="B920" t="s">
        <v>3183</v>
      </c>
      <c r="C920" t="s">
        <v>3184</v>
      </c>
      <c r="D920" t="s">
        <v>3185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3186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  <c r="W920" t="s">
        <v>3182</v>
      </c>
      <c r="X920" t="str">
        <v>09-11-25</v>
      </c>
      <c r="Y920" t="str">
        <v>invalid date</v>
      </c>
      <c r="Z920" t="s">
        <v>3185</v>
      </c>
      <c r="AA920" t="str">
        <v>Rahul Verma</v>
      </c>
      <c r="AB920" t="str">
        <f t="shared" si="141"/>
        <v>Small Business</v>
      </c>
      <c r="AC920" t="str">
        <f t="shared" si="142"/>
        <v>North</v>
      </c>
      <c r="AD920" t="str">
        <f t="shared" si="143"/>
        <v>Delhi</v>
      </c>
      <c r="AE920" t="str">
        <f t="shared" si="144"/>
        <v>New Delhi</v>
      </c>
      <c r="AF920" t="str">
        <f t="shared" si="145"/>
        <v>Technology</v>
      </c>
      <c r="AG920" t="str">
        <f t="shared" si="146"/>
        <v>Phones</v>
      </c>
      <c r="AH920" t="str">
        <f t="shared" si="147"/>
        <v>Smart Phones 967</v>
      </c>
      <c r="AI920" t="str">
        <f t="shared" si="148"/>
        <v>Same Day</v>
      </c>
      <c r="AJ920" s="3" t="str">
        <f t="shared" si="149"/>
        <v>Invalid</v>
      </c>
      <c r="AK920" t="str">
        <f t="shared" si="150"/>
        <v>invalid date</v>
      </c>
    </row>
    <row r="921" spans="1:37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  <c r="W921" t="s">
        <v>89</v>
      </c>
      <c r="X921" t="str">
        <v>04-10-25</v>
      </c>
      <c r="Y921" t="str">
        <v>invalid date</v>
      </c>
      <c r="Z921" t="s">
        <v>92</v>
      </c>
      <c r="AA921" t="str">
        <v>Neha Gupta</v>
      </c>
      <c r="AB921" t="str">
        <f t="shared" si="141"/>
        <v>Consumer</v>
      </c>
      <c r="AC921" t="str">
        <f t="shared" si="142"/>
        <v>East</v>
      </c>
      <c r="AD921" t="str">
        <f t="shared" si="143"/>
        <v>Odisha</v>
      </c>
      <c r="AE921" t="str">
        <f t="shared" si="144"/>
        <v>Bhubaneswar</v>
      </c>
      <c r="AF921" t="str">
        <f t="shared" si="145"/>
        <v>Technology</v>
      </c>
      <c r="AG921" t="str">
        <f t="shared" si="146"/>
        <v>Copiers</v>
      </c>
      <c r="AH921" t="str">
        <f t="shared" si="147"/>
        <v>Eco Copiers 790</v>
      </c>
      <c r="AI921" t="str">
        <f t="shared" si="148"/>
        <v>Standard Class</v>
      </c>
      <c r="AJ921" s="3" t="str">
        <f t="shared" si="149"/>
        <v>Invalid</v>
      </c>
      <c r="AK921" t="str">
        <f t="shared" si="150"/>
        <v>invalid date</v>
      </c>
    </row>
    <row r="922" spans="1:37">
      <c r="A922" t="s">
        <v>1675</v>
      </c>
      <c r="B922" t="s">
        <v>704</v>
      </c>
      <c r="C922" t="s">
        <v>1676</v>
      </c>
      <c r="D922" t="s">
        <v>1677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1678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  <c r="W922" t="s">
        <v>1675</v>
      </c>
      <c r="X922" t="str">
        <v>04-12-24</v>
      </c>
      <c r="Y922" t="str">
        <v>06-12-24</v>
      </c>
      <c r="Z922" t="s">
        <v>1677</v>
      </c>
      <c r="AA922" t="str">
        <v>Sneha Kapoor</v>
      </c>
      <c r="AB922" t="str">
        <f t="shared" si="141"/>
        <v>Home Office</v>
      </c>
      <c r="AC922" t="str">
        <f t="shared" si="142"/>
        <v>East</v>
      </c>
      <c r="AD922" t="str">
        <f t="shared" si="143"/>
        <v>Odisha</v>
      </c>
      <c r="AE922" t="str">
        <f t="shared" si="144"/>
        <v>Bhubaneswar</v>
      </c>
      <c r="AF922" t="str">
        <f t="shared" si="145"/>
        <v>Office Supplies</v>
      </c>
      <c r="AG922" t="str">
        <f t="shared" si="146"/>
        <v>Binders</v>
      </c>
      <c r="AH922" t="str">
        <f t="shared" si="147"/>
        <v>Smart Binders 939</v>
      </c>
      <c r="AI922" t="str">
        <f t="shared" si="148"/>
        <v>Second Class</v>
      </c>
      <c r="AJ922" s="3" t="str">
        <f t="shared" si="149"/>
        <v>anomaly</v>
      </c>
      <c r="AK922">
        <f t="shared" si="150"/>
        <v>2</v>
      </c>
    </row>
    <row r="923" spans="1:37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  <c r="W923" t="s">
        <v>549</v>
      </c>
      <c r="X923" t="str">
        <v>invalid date</v>
      </c>
      <c r="Y923" t="str">
        <v>29-08-25</v>
      </c>
      <c r="Z923" t="s">
        <v>551</v>
      </c>
      <c r="AA923" t="str">
        <v>Aarav Sharma</v>
      </c>
      <c r="AB923" t="str">
        <f t="shared" si="141"/>
        <v>Small Business</v>
      </c>
      <c r="AC923" t="str">
        <f t="shared" si="142"/>
        <v>East</v>
      </c>
      <c r="AD923" t="str">
        <f t="shared" si="143"/>
        <v>Bihar</v>
      </c>
      <c r="AE923" t="str">
        <f t="shared" si="144"/>
        <v>Patna</v>
      </c>
      <c r="AF923" t="str">
        <f t="shared" si="145"/>
        <v>Technology</v>
      </c>
      <c r="AG923" t="str">
        <f t="shared" si="146"/>
        <v>Copiers</v>
      </c>
      <c r="AH923" t="str">
        <f t="shared" si="147"/>
        <v>Smart Copiers 556</v>
      </c>
      <c r="AI923" t="str">
        <f t="shared" si="148"/>
        <v>First Class</v>
      </c>
      <c r="AJ923" s="3" t="str">
        <f t="shared" si="149"/>
        <v>Invalid</v>
      </c>
      <c r="AK923" t="str">
        <f t="shared" si="150"/>
        <v>invalid date</v>
      </c>
    </row>
    <row r="924" spans="1:37">
      <c r="A924" t="s">
        <v>1859</v>
      </c>
      <c r="B924" t="s">
        <v>1860</v>
      </c>
      <c r="C924" t="s">
        <v>1860</v>
      </c>
      <c r="D924" t="s">
        <v>1861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1862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  <c r="W924" t="s">
        <v>1859</v>
      </c>
      <c r="X924" t="str">
        <v>13-04-25</v>
      </c>
      <c r="Y924" t="str">
        <v>13-04-25</v>
      </c>
      <c r="Z924" t="s">
        <v>1861</v>
      </c>
      <c r="AA924" t="str">
        <v>Sneha Kapoor</v>
      </c>
      <c r="AB924" t="str">
        <f t="shared" si="141"/>
        <v>Small Business</v>
      </c>
      <c r="AC924" t="str">
        <f t="shared" si="142"/>
        <v>North</v>
      </c>
      <c r="AD924" t="str">
        <f t="shared" si="143"/>
        <v>Uttar Pradesh</v>
      </c>
      <c r="AE924" t="str">
        <f t="shared" si="144"/>
        <v>Noida</v>
      </c>
      <c r="AF924" t="str">
        <f t="shared" si="145"/>
        <v>Office Supplies</v>
      </c>
      <c r="AG924" t="str">
        <f t="shared" si="146"/>
        <v>Storage</v>
      </c>
      <c r="AH924" t="str">
        <f t="shared" si="147"/>
        <v>Prime Storage 951</v>
      </c>
      <c r="AI924" t="str">
        <f t="shared" si="148"/>
        <v>Second Class</v>
      </c>
      <c r="AJ924" s="3" t="str">
        <f t="shared" si="149"/>
        <v xml:space="preserve">  </v>
      </c>
      <c r="AK924">
        <f t="shared" si="150"/>
        <v>0</v>
      </c>
    </row>
    <row r="925" spans="1:37">
      <c r="A925" t="s">
        <v>1187</v>
      </c>
      <c r="B925" t="s">
        <v>1188</v>
      </c>
      <c r="C925" t="s">
        <v>1189</v>
      </c>
      <c r="D925" t="s">
        <v>1190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1191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  <c r="W925" t="s">
        <v>1187</v>
      </c>
      <c r="X925" t="str">
        <v>10-02-25</v>
      </c>
      <c r="Y925" t="str">
        <v>08-10-25</v>
      </c>
      <c r="Z925" t="s">
        <v>1190</v>
      </c>
      <c r="AA925" t="str">
        <v>Isha Nair</v>
      </c>
      <c r="AB925" t="str">
        <f t="shared" si="141"/>
        <v>Small Business</v>
      </c>
      <c r="AC925" t="str">
        <f t="shared" si="142"/>
        <v>North</v>
      </c>
      <c r="AD925" t="str">
        <f t="shared" si="143"/>
        <v>Punjab</v>
      </c>
      <c r="AE925" t="str">
        <f t="shared" si="144"/>
        <v>Ludhiana</v>
      </c>
      <c r="AF925" t="str">
        <f t="shared" si="145"/>
        <v>Furniture</v>
      </c>
      <c r="AG925" t="str">
        <f t="shared" si="146"/>
        <v>Furnishings</v>
      </c>
      <c r="AH925" t="str">
        <f t="shared" si="147"/>
        <v>Classic Furnishings 109</v>
      </c>
      <c r="AI925" t="str">
        <f t="shared" si="148"/>
        <v>Standard Class</v>
      </c>
      <c r="AJ925" s="3" t="str">
        <f t="shared" si="149"/>
        <v xml:space="preserve">  </v>
      </c>
      <c r="AK925">
        <f t="shared" si="150"/>
        <v>240</v>
      </c>
    </row>
    <row r="926" spans="1:37">
      <c r="A926" t="s">
        <v>1600</v>
      </c>
      <c r="B926" t="s">
        <v>1103</v>
      </c>
      <c r="C926" t="s">
        <v>118</v>
      </c>
      <c r="D926" t="s">
        <v>1601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1602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  <c r="W926" t="s">
        <v>1600</v>
      </c>
      <c r="X926" t="str">
        <v>invalid date</v>
      </c>
      <c r="Y926" t="str">
        <v>20-05-25</v>
      </c>
      <c r="Z926" t="s">
        <v>1601</v>
      </c>
      <c r="AA926" t="str">
        <v>Isha Nair</v>
      </c>
      <c r="AB926" t="str">
        <f t="shared" si="141"/>
        <v>Corporate</v>
      </c>
      <c r="AC926" t="str">
        <f t="shared" si="142"/>
        <v>West</v>
      </c>
      <c r="AD926" t="str">
        <f t="shared" si="143"/>
        <v>Madhya Pradesh</v>
      </c>
      <c r="AE926" t="str">
        <f t="shared" si="144"/>
        <v>Indore</v>
      </c>
      <c r="AF926" t="str">
        <f t="shared" si="145"/>
        <v>Office Supplies</v>
      </c>
      <c r="AG926" t="str">
        <f t="shared" si="146"/>
        <v>Labels</v>
      </c>
      <c r="AH926" t="str">
        <f t="shared" si="147"/>
        <v>Elite Labels 544</v>
      </c>
      <c r="AI926" t="str">
        <f t="shared" si="148"/>
        <v>Standard Class</v>
      </c>
      <c r="AJ926" s="3" t="str">
        <f t="shared" si="149"/>
        <v>Invalid</v>
      </c>
      <c r="AK926" t="str">
        <f t="shared" si="150"/>
        <v>invalid date</v>
      </c>
    </row>
    <row r="927" spans="1:37">
      <c r="A927" t="s">
        <v>933</v>
      </c>
      <c r="B927" t="s">
        <v>112</v>
      </c>
      <c r="C927" t="s">
        <v>934</v>
      </c>
      <c r="D927" t="s">
        <v>935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936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  <c r="W927" t="s">
        <v>933</v>
      </c>
      <c r="X927" t="str">
        <v>07-09-25</v>
      </c>
      <c r="Y927" t="str">
        <v>invalid date</v>
      </c>
      <c r="Z927" t="s">
        <v>935</v>
      </c>
      <c r="AA927" t="str">
        <v>Rohan Mehta</v>
      </c>
      <c r="AB927" t="str">
        <f t="shared" si="141"/>
        <v>Corporate</v>
      </c>
      <c r="AC927" t="str">
        <f t="shared" si="142"/>
        <v>East</v>
      </c>
      <c r="AD927" t="str">
        <f t="shared" si="143"/>
        <v>Bihar</v>
      </c>
      <c r="AE927" t="str">
        <f t="shared" si="144"/>
        <v>Patna</v>
      </c>
      <c r="AF927" t="str">
        <f t="shared" si="145"/>
        <v>Technology</v>
      </c>
      <c r="AG927" t="str">
        <f t="shared" si="146"/>
        <v>Copiers</v>
      </c>
      <c r="AH927" t="str">
        <f t="shared" si="147"/>
        <v>Eco Copiers 102</v>
      </c>
      <c r="AI927" t="str">
        <f t="shared" si="148"/>
        <v>Standard Class</v>
      </c>
      <c r="AJ927" s="3" t="str">
        <f t="shared" si="149"/>
        <v>Invalid</v>
      </c>
      <c r="AK927" t="str">
        <f t="shared" si="150"/>
        <v>invalid date</v>
      </c>
    </row>
    <row r="928" spans="1:37">
      <c r="A928" t="s">
        <v>2085</v>
      </c>
      <c r="B928" t="s">
        <v>2086</v>
      </c>
      <c r="C928" t="s">
        <v>2087</v>
      </c>
      <c r="D928" t="s">
        <v>2088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2089</v>
      </c>
      <c r="M928" t="s">
        <v>2090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  <c r="W928" t="s">
        <v>2085</v>
      </c>
      <c r="X928" t="str">
        <v>20-02-24</v>
      </c>
      <c r="Y928" t="str">
        <v>27-02-24</v>
      </c>
      <c r="Z928" t="s">
        <v>2088</v>
      </c>
      <c r="AA928" t="str">
        <v>Diya Patel</v>
      </c>
      <c r="AB928" t="str">
        <f t="shared" si="141"/>
        <v>Consumer</v>
      </c>
      <c r="AC928" t="str">
        <f t="shared" si="142"/>
        <v>South</v>
      </c>
      <c r="AD928" t="str">
        <f t="shared" si="143"/>
        <v>Kerala</v>
      </c>
      <c r="AE928" t="str">
        <f t="shared" si="144"/>
        <v>Kochi</v>
      </c>
      <c r="AF928" t="str">
        <f t="shared" si="145"/>
        <v>Technology</v>
      </c>
      <c r="AG928" t="str">
        <f t="shared" si="146"/>
        <v>Accessories</v>
      </c>
      <c r="AH928" t="str">
        <f t="shared" si="147"/>
        <v>Prime Accessories 236</v>
      </c>
      <c r="AI928" t="str">
        <f t="shared" si="148"/>
        <v>First Class</v>
      </c>
      <c r="AJ928" s="3" t="str">
        <f t="shared" si="149"/>
        <v>anomaly</v>
      </c>
      <c r="AK928">
        <f t="shared" si="150"/>
        <v>7</v>
      </c>
    </row>
    <row r="929" spans="1:37">
      <c r="A929" t="s">
        <v>2737</v>
      </c>
      <c r="B929" t="s">
        <v>2673</v>
      </c>
      <c r="C929" t="s">
        <v>2738</v>
      </c>
      <c r="D929" t="s">
        <v>2739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2740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  <c r="W929" t="s">
        <v>2737</v>
      </c>
      <c r="X929" t="str">
        <v>10-02-25</v>
      </c>
      <c r="Y929" t="str">
        <v>14-02-25</v>
      </c>
      <c r="Z929" t="s">
        <v>2739</v>
      </c>
      <c r="AA929" t="str">
        <v>Priya Menon</v>
      </c>
      <c r="AB929" t="str">
        <f t="shared" si="141"/>
        <v>Small Business</v>
      </c>
      <c r="AC929" t="str">
        <f t="shared" si="142"/>
        <v>North</v>
      </c>
      <c r="AD929" t="str">
        <f t="shared" si="143"/>
        <v>Uttar Pradesh</v>
      </c>
      <c r="AE929" t="str">
        <f t="shared" si="144"/>
        <v>Noida</v>
      </c>
      <c r="AF929" t="str">
        <f t="shared" si="145"/>
        <v>Technology</v>
      </c>
      <c r="AG929" t="str">
        <f t="shared" si="146"/>
        <v>Phones</v>
      </c>
      <c r="AH929" t="str">
        <f t="shared" si="147"/>
        <v>Prime Phones 895</v>
      </c>
      <c r="AI929" s="5" t="s">
        <v>4116</v>
      </c>
      <c r="AJ929" s="3" t="str">
        <f t="shared" si="149"/>
        <v>anomaly</v>
      </c>
      <c r="AK929">
        <f t="shared" si="150"/>
        <v>4</v>
      </c>
    </row>
    <row r="930" spans="1:37">
      <c r="A930" t="s">
        <v>799</v>
      </c>
      <c r="B930" t="s">
        <v>800</v>
      </c>
      <c r="C930" t="s">
        <v>801</v>
      </c>
      <c r="D930" t="s">
        <v>802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803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  <c r="W930" t="s">
        <v>799</v>
      </c>
      <c r="X930" t="str">
        <v>30-03-24</v>
      </c>
      <c r="Y930" t="str">
        <v>26-03-24</v>
      </c>
      <c r="Z930" t="s">
        <v>802</v>
      </c>
      <c r="AA930" t="str">
        <v>Aditi Sen</v>
      </c>
      <c r="AB930" t="str">
        <f t="shared" si="141"/>
        <v>Home Office</v>
      </c>
      <c r="AC930" t="str">
        <f t="shared" si="142"/>
        <v>North</v>
      </c>
      <c r="AD930" t="str">
        <f t="shared" si="143"/>
        <v>Rajasthan</v>
      </c>
      <c r="AE930" t="str">
        <f t="shared" si="144"/>
        <v>Jaipur</v>
      </c>
      <c r="AF930" t="str">
        <f t="shared" si="145"/>
        <v>Technology</v>
      </c>
      <c r="AG930" t="str">
        <f t="shared" si="146"/>
        <v>Phones</v>
      </c>
      <c r="AH930" t="str">
        <f t="shared" si="147"/>
        <v>Classic Phones 142</v>
      </c>
      <c r="AI930" t="str">
        <f t="shared" si="148"/>
        <v>Second Class</v>
      </c>
      <c r="AJ930" s="3" t="str">
        <f t="shared" si="149"/>
        <v xml:space="preserve">  </v>
      </c>
      <c r="AK930">
        <f t="shared" si="150"/>
        <v>-4</v>
      </c>
    </row>
    <row r="931" spans="1:37">
      <c r="A931" t="s">
        <v>1406</v>
      </c>
      <c r="B931" t="s">
        <v>1407</v>
      </c>
      <c r="C931" t="s">
        <v>1408</v>
      </c>
      <c r="D931" t="s">
        <v>1409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1410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  <c r="W931" t="s">
        <v>1406</v>
      </c>
      <c r="X931" t="str">
        <v>invalid date</v>
      </c>
      <c r="Y931" t="str">
        <v>24-08-24</v>
      </c>
      <c r="Z931" t="s">
        <v>1409</v>
      </c>
      <c r="AA931" t="str">
        <v>Arjun Bose</v>
      </c>
      <c r="AB931" t="str">
        <f t="shared" si="141"/>
        <v>Consumer</v>
      </c>
      <c r="AC931" t="str">
        <f t="shared" si="142"/>
        <v>South</v>
      </c>
      <c r="AD931" t="str">
        <f t="shared" si="143"/>
        <v>Andhra Pradesh</v>
      </c>
      <c r="AE931" t="str">
        <f t="shared" si="144"/>
        <v>Vijayawada</v>
      </c>
      <c r="AF931" t="str">
        <f t="shared" si="145"/>
        <v>Furniture</v>
      </c>
      <c r="AG931" t="str">
        <f t="shared" si="146"/>
        <v>Chairs</v>
      </c>
      <c r="AH931" t="str">
        <f t="shared" si="147"/>
        <v>Eco Chairs 314</v>
      </c>
      <c r="AI931" t="str">
        <f t="shared" si="148"/>
        <v>First Class</v>
      </c>
      <c r="AJ931" s="3" t="str">
        <f t="shared" si="149"/>
        <v>Invalid</v>
      </c>
      <c r="AK931" t="str">
        <f t="shared" si="150"/>
        <v>invalid date</v>
      </c>
    </row>
    <row r="932" spans="1:37">
      <c r="A932" t="s">
        <v>707</v>
      </c>
      <c r="B932" t="s">
        <v>708</v>
      </c>
      <c r="C932" t="s">
        <v>709</v>
      </c>
      <c r="D932" t="s">
        <v>710</v>
      </c>
      <c r="E932" t="s">
        <v>168</v>
      </c>
      <c r="F932" t="s">
        <v>41</v>
      </c>
      <c r="G932" t="s">
        <v>711</v>
      </c>
      <c r="H932" t="s">
        <v>154</v>
      </c>
      <c r="I932" t="s">
        <v>155</v>
      </c>
      <c r="J932" t="s">
        <v>86</v>
      </c>
      <c r="K932" t="s">
        <v>94</v>
      </c>
      <c r="L932" t="s">
        <v>712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  <c r="W932" t="s">
        <v>707</v>
      </c>
      <c r="X932" t="str">
        <v>invalid date</v>
      </c>
      <c r="Y932" t="str">
        <v>25-05-24</v>
      </c>
      <c r="Z932" t="s">
        <v>710</v>
      </c>
      <c r="AA932" t="str">
        <v>Sneha Kapoor</v>
      </c>
      <c r="AB932" t="str">
        <f t="shared" si="141"/>
        <v>Small Business</v>
      </c>
      <c r="AC932" t="str">
        <f t="shared" si="142"/>
        <v>North</v>
      </c>
      <c r="AD932" t="str">
        <f t="shared" si="143"/>
        <v>Punjab</v>
      </c>
      <c r="AE932" t="str">
        <f t="shared" si="144"/>
        <v>Ludhiana</v>
      </c>
      <c r="AF932" t="str">
        <f t="shared" si="145"/>
        <v>Technology</v>
      </c>
      <c r="AG932" t="str">
        <f t="shared" si="146"/>
        <v>Copiers</v>
      </c>
      <c r="AH932" t="str">
        <f t="shared" si="147"/>
        <v>Max Copiers 970</v>
      </c>
      <c r="AI932" t="str">
        <f t="shared" si="148"/>
        <v>Same Day</v>
      </c>
      <c r="AJ932" s="3" t="str">
        <f t="shared" si="149"/>
        <v>Invalid</v>
      </c>
      <c r="AK932" t="str">
        <f t="shared" si="150"/>
        <v>invalid date</v>
      </c>
    </row>
    <row r="933" spans="1:37">
      <c r="A933" t="s">
        <v>1695</v>
      </c>
      <c r="B933" t="s">
        <v>1696</v>
      </c>
      <c r="C933" t="s">
        <v>1697</v>
      </c>
      <c r="D933" t="s">
        <v>1698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1699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  <c r="W933" t="s">
        <v>1695</v>
      </c>
      <c r="X933" t="str">
        <v>invalid date</v>
      </c>
      <c r="Y933" t="str">
        <v>18-06-25</v>
      </c>
      <c r="Z933" t="s">
        <v>1698</v>
      </c>
      <c r="AA933" t="str">
        <v>Rahul Verma</v>
      </c>
      <c r="AB933" t="str">
        <f t="shared" si="141"/>
        <v>Home Office</v>
      </c>
      <c r="AC933" t="str">
        <f t="shared" si="142"/>
        <v>West</v>
      </c>
      <c r="AD933" t="str">
        <f t="shared" si="143"/>
        <v>Madhya Pradesh</v>
      </c>
      <c r="AE933" t="str">
        <f t="shared" si="144"/>
        <v>Indore</v>
      </c>
      <c r="AF933" t="str">
        <f t="shared" si="145"/>
        <v>Office Supplies</v>
      </c>
      <c r="AG933" t="str">
        <f t="shared" si="146"/>
        <v>Paper</v>
      </c>
      <c r="AH933" t="str">
        <f t="shared" si="147"/>
        <v>Prime Paper 559</v>
      </c>
      <c r="AI933" t="str">
        <f t="shared" si="148"/>
        <v>First Class</v>
      </c>
      <c r="AJ933" s="3" t="str">
        <f t="shared" si="149"/>
        <v>Invalid</v>
      </c>
      <c r="AK933" t="str">
        <f t="shared" si="150"/>
        <v>invalid date</v>
      </c>
    </row>
  </sheetData>
  <autoFilter ref="P1:P933" xr:uid="{00000000-0001-0000-0000-000000000000}"/>
  <conditionalFormatting sqref="W2:W933">
    <cfRule type="duplicateValues" dxfId="3" priority="2"/>
  </conditionalFormatting>
  <conditionalFormatting sqref="X2:Y933">
    <cfRule type="containsText" dxfId="2" priority="3" operator="containsText" text="invalid date">
      <formula>NOT(ISERROR(SEARCH("invalid date",X2)))</formula>
    </cfRule>
  </conditionalFormatting>
  <conditionalFormatting sqref="AK1:AK1048576">
    <cfRule type="containsText" dxfId="1" priority="1" operator="containsText" text="invalid date">
      <formula>NOT(ISERROR(SEARCH("invalid date",AK1)))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111" workbookViewId="0">
      <selection activeCell="Y7" sqref="Y7"/>
    </sheetView>
  </sheetViews>
  <sheetFormatPr defaultRowHeight="13.8"/>
  <cols>
    <col min="1" max="2" width="28" customWidth="1"/>
  </cols>
  <sheetData>
    <row r="1" spans="1:2" ht="22.35" customHeight="1">
      <c r="A1" s="1" t="s">
        <v>4086</v>
      </c>
      <c r="B1" s="1" t="s">
        <v>4087</v>
      </c>
    </row>
    <row r="2" spans="1:2" ht="41.4">
      <c r="A2" s="2" t="s">
        <v>4088</v>
      </c>
      <c r="B2" s="2" t="s">
        <v>4089</v>
      </c>
    </row>
    <row r="3" spans="1:2" ht="27.6">
      <c r="A3" s="2" t="s">
        <v>4090</v>
      </c>
      <c r="B3" s="2" t="s">
        <v>4091</v>
      </c>
    </row>
    <row r="4" spans="1:2" ht="27.6">
      <c r="A4" s="2" t="s">
        <v>4092</v>
      </c>
      <c r="B4" s="2" t="s">
        <v>4091</v>
      </c>
    </row>
    <row r="5" spans="1:2" ht="27.6">
      <c r="A5" s="2" t="s">
        <v>4093</v>
      </c>
      <c r="B5" s="2" t="s">
        <v>4094</v>
      </c>
    </row>
    <row r="6" spans="1:2" ht="41.4">
      <c r="A6" s="2" t="s">
        <v>4095</v>
      </c>
      <c r="B6" s="2" t="s">
        <v>4096</v>
      </c>
    </row>
    <row r="7" spans="1:2" ht="55.2">
      <c r="A7" s="2" t="s">
        <v>4097</v>
      </c>
      <c r="B7" s="2" t="s">
        <v>4098</v>
      </c>
    </row>
    <row r="8" spans="1:2" ht="27.6">
      <c r="A8" s="2" t="s">
        <v>4099</v>
      </c>
      <c r="B8" s="2" t="s">
        <v>4100</v>
      </c>
    </row>
    <row r="9" spans="1:2" ht="41.4">
      <c r="A9" s="2" t="s">
        <v>4101</v>
      </c>
      <c r="B9" s="2" t="s">
        <v>4102</v>
      </c>
    </row>
    <row r="10" spans="1:2" ht="69">
      <c r="A10" s="2" t="s">
        <v>4103</v>
      </c>
      <c r="B10" s="2" t="s">
        <v>4104</v>
      </c>
    </row>
    <row r="11" spans="1:2" ht="41.4">
      <c r="A11" s="2" t="s">
        <v>4105</v>
      </c>
      <c r="B11" s="2" t="s">
        <v>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Barkha Srivastava</cp:lastModifiedBy>
  <dcterms:created xsi:type="dcterms:W3CDTF">2026-06-25T15:06:22Z</dcterms:created>
  <dcterms:modified xsi:type="dcterms:W3CDTF">2026-06-26T15:19:51Z</dcterms:modified>
</cp:coreProperties>
</file>